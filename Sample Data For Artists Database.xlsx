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fanargroup-my.sharepoint.com/personal/asif_bhati_dar-engineering_com/Documents/Desktop/Hiring Documents/My Docs/Chandigarh University Msc/04th Semester/Major Project - Data Analysis using Power BI/Artist Database Dashboard/"/>
    </mc:Choice>
  </mc:AlternateContent>
  <xr:revisionPtr revIDLastSave="319" documentId="8_{66E21210-7557-4086-9905-59DB1956F1F9}" xr6:coauthVersionLast="47" xr6:coauthVersionMax="47" xr10:uidLastSave="{1F37E277-040C-40B8-97CE-624D0D711AF4}"/>
  <bookViews>
    <workbookView xWindow="-110" yWindow="-110" windowWidth="19420" windowHeight="11500" xr2:uid="{971CD83C-FD4F-4D6B-836F-9E6E431C2E7B}"/>
  </bookViews>
  <sheets>
    <sheet name="Sheet1" sheetId="1" r:id="rId1"/>
    <sheet name="Artwork Statu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2" i="1"/>
  <c r="D14" i="3"/>
  <c r="D13" i="3"/>
  <c r="D12" i="3"/>
  <c r="D11" i="3"/>
  <c r="D10" i="3"/>
  <c r="D9" i="3"/>
  <c r="D8" i="3"/>
  <c r="D7" i="3"/>
  <c r="D6" i="3"/>
  <c r="D5" i="3"/>
  <c r="D4" i="3"/>
  <c r="D3" i="3"/>
  <c r="D2" i="3"/>
  <c r="K90" i="1" l="1"/>
  <c r="K89" i="1"/>
  <c r="K88" i="1"/>
  <c r="K87" i="1"/>
  <c r="K86" i="1"/>
  <c r="K85" i="1"/>
  <c r="K84" i="1"/>
  <c r="K24" i="1"/>
  <c r="K25" i="1"/>
  <c r="K26" i="1"/>
  <c r="K27" i="1"/>
  <c r="K28" i="1"/>
  <c r="K693" i="1"/>
  <c r="K69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2" i="1"/>
</calcChain>
</file>

<file path=xl/sharedStrings.xml><?xml version="1.0" encoding="utf-8"?>
<sst xmlns="http://schemas.openxmlformats.org/spreadsheetml/2006/main" count="8520" uniqueCount="1917">
  <si>
    <t>S.N</t>
  </si>
  <si>
    <t>Name</t>
  </si>
  <si>
    <t>Nationality</t>
  </si>
  <si>
    <t>E-Mail Address</t>
  </si>
  <si>
    <t>Category
(Artist/Designer/Architect)</t>
  </si>
  <si>
    <t>Website</t>
  </si>
  <si>
    <t>Gender</t>
  </si>
  <si>
    <t>Vetting Process</t>
  </si>
  <si>
    <t>Birthyear</t>
  </si>
  <si>
    <t>Age</t>
  </si>
  <si>
    <t>Surname/Studio Name/Artistic Name</t>
  </si>
  <si>
    <t>Program</t>
  </si>
  <si>
    <t>Artwork</t>
  </si>
  <si>
    <t>Year</t>
  </si>
  <si>
    <t xml:space="preserve">Art Typology </t>
  </si>
  <si>
    <t>Location</t>
  </si>
  <si>
    <t xml:space="preserve">Notes on Program </t>
  </si>
  <si>
    <t>Abbas</t>
  </si>
  <si>
    <t>Hamra</t>
  </si>
  <si>
    <t>Pakistan</t>
  </si>
  <si>
    <t>Artist</t>
  </si>
  <si>
    <t>F</t>
  </si>
  <si>
    <t>YES</t>
  </si>
  <si>
    <t>Abboud</t>
  </si>
  <si>
    <t>Michel</t>
  </si>
  <si>
    <t xml:space="preserve">Artist </t>
  </si>
  <si>
    <t>M</t>
  </si>
  <si>
    <t>Abdulhadi</t>
  </si>
  <si>
    <t xml:space="preserve">Fatma </t>
  </si>
  <si>
    <t>Saudi Arabia</t>
  </si>
  <si>
    <t>Abduljawad</t>
  </si>
  <si>
    <t>Omar</t>
  </si>
  <si>
    <t>Abdullateef</t>
  </si>
  <si>
    <t>Bayan</t>
  </si>
  <si>
    <t>Abramović</t>
  </si>
  <si>
    <t>Marina</t>
  </si>
  <si>
    <t>Serbia</t>
  </si>
  <si>
    <t>Abu Abdallah</t>
  </si>
  <si>
    <t>Sarah</t>
  </si>
  <si>
    <t>Abu Hamdan</t>
  </si>
  <si>
    <t>Lawrence</t>
  </si>
  <si>
    <t>Jordan</t>
  </si>
  <si>
    <t>Abuissa</t>
  </si>
  <si>
    <t>Noor</t>
  </si>
  <si>
    <t>Qatar</t>
  </si>
  <si>
    <t>Acciardi​</t>
  </si>
  <si>
    <t>Federico</t>
  </si>
  <si>
    <t>Italy</t>
  </si>
  <si>
    <t>Ackermann</t>
  </si>
  <si>
    <t>Franz</t>
  </si>
  <si>
    <t>-</t>
  </si>
  <si>
    <t>Acket</t>
  </si>
  <si>
    <t>Boris</t>
  </si>
  <si>
    <t>Afridi</t>
  </si>
  <si>
    <t>Saks</t>
  </si>
  <si>
    <t>Aitken</t>
  </si>
  <si>
    <t>Doug</t>
  </si>
  <si>
    <t>Akinci</t>
  </si>
  <si>
    <t>Ebru</t>
  </si>
  <si>
    <t>AlAbdali</t>
  </si>
  <si>
    <t>Sara</t>
  </si>
  <si>
    <t>AlAbdulhai</t>
  </si>
  <si>
    <t>Seema</t>
  </si>
  <si>
    <t>Aladağ​</t>
  </si>
  <si>
    <t>Nevin</t>
  </si>
  <si>
    <t>AlAhmad</t>
  </si>
  <si>
    <t>Raghad</t>
  </si>
  <si>
    <t>Alahmad</t>
  </si>
  <si>
    <t>Yusef</t>
  </si>
  <si>
    <t>AlAithan</t>
  </si>
  <si>
    <t>Huda</t>
  </si>
  <si>
    <t>Alamoudi</t>
  </si>
  <si>
    <t>Ahaad</t>
  </si>
  <si>
    <t>Rana</t>
  </si>
  <si>
    <t>Alamoudi​</t>
  </si>
  <si>
    <t>Abdullah</t>
  </si>
  <si>
    <t>AlAqidi</t>
  </si>
  <si>
    <t>Bodour</t>
  </si>
  <si>
    <t>AlAttawi</t>
  </si>
  <si>
    <t>Hmoud</t>
  </si>
  <si>
    <t xml:space="preserve">Alawi Al-Alawi </t>
  </si>
  <si>
    <t>Haidar</t>
  </si>
  <si>
    <t>AlBaker​</t>
  </si>
  <si>
    <t>Amna</t>
  </si>
  <si>
    <t>Albinali​</t>
  </si>
  <si>
    <t>Abdulmohsen</t>
  </si>
  <si>
    <t>Albuquerque</t>
  </si>
  <si>
    <t>Lita</t>
  </si>
  <si>
    <t>Aldikhairy</t>
  </si>
  <si>
    <t>Almigdad</t>
  </si>
  <si>
    <t>Sudan</t>
  </si>
  <si>
    <t>AlDohan</t>
  </si>
  <si>
    <t>Nawaf</t>
  </si>
  <si>
    <t>AlDowayan</t>
  </si>
  <si>
    <t>Manal</t>
  </si>
  <si>
    <t>Alem</t>
  </si>
  <si>
    <t>Shadia</t>
  </si>
  <si>
    <t>AlFaraj​</t>
  </si>
  <si>
    <t>Mohammad</t>
  </si>
  <si>
    <t>AlFaris</t>
  </si>
  <si>
    <t>Mohammed</t>
  </si>
  <si>
    <t>AlGethami</t>
  </si>
  <si>
    <t>Fahad</t>
  </si>
  <si>
    <t>AlGhamdi</t>
  </si>
  <si>
    <t>Zahrah</t>
  </si>
  <si>
    <t>AlGhannam</t>
  </si>
  <si>
    <t>Khalid</t>
  </si>
  <si>
    <t>AlGwaiz​</t>
  </si>
  <si>
    <t>Madhawi</t>
  </si>
  <si>
    <t>Alhajeri</t>
  </si>
  <si>
    <t>Kuwait</t>
  </si>
  <si>
    <t>Alhakbani</t>
  </si>
  <si>
    <t>Lamia</t>
  </si>
  <si>
    <t>AlHamdan "Warchieff"</t>
  </si>
  <si>
    <t>Alhamoud</t>
  </si>
  <si>
    <t>Ali</t>
  </si>
  <si>
    <t>Alharbi</t>
  </si>
  <si>
    <t>Athar</t>
  </si>
  <si>
    <t>AlHashemi</t>
  </si>
  <si>
    <t>Zeinab</t>
  </si>
  <si>
    <t>AlHattoom</t>
  </si>
  <si>
    <t>Obai</t>
  </si>
  <si>
    <t>AlHomoud</t>
  </si>
  <si>
    <t>Lulwah</t>
  </si>
  <si>
    <t>AlHowede</t>
  </si>
  <si>
    <t>Saad</t>
  </si>
  <si>
    <t>Shua'a</t>
  </si>
  <si>
    <t>Ali Uysal</t>
  </si>
  <si>
    <t>Mehmet</t>
  </si>
  <si>
    <t>Aljabri</t>
  </si>
  <si>
    <t>Oman</t>
  </si>
  <si>
    <t>AlJahdhami (Shaweesh)</t>
  </si>
  <si>
    <t>AlJebreen</t>
  </si>
  <si>
    <t>Aljefri</t>
  </si>
  <si>
    <t>Obadah Yahya</t>
  </si>
  <si>
    <t>Aljohani</t>
  </si>
  <si>
    <t>Asmaa</t>
  </si>
  <si>
    <t>AlLamki</t>
  </si>
  <si>
    <t>Hashel</t>
  </si>
  <si>
    <t>AlMajhadi </t>
  </si>
  <si>
    <t>AlMalky</t>
  </si>
  <si>
    <t>AlMazrooa</t>
  </si>
  <si>
    <t>Nora</t>
  </si>
  <si>
    <t>AlMazrou</t>
  </si>
  <si>
    <t>Shaikha</t>
  </si>
  <si>
    <t>Almilli​</t>
  </si>
  <si>
    <t>Hana</t>
  </si>
  <si>
    <t>Almond</t>
  </si>
  <si>
    <t>Darren</t>
  </si>
  <si>
    <t>AlMonif</t>
  </si>
  <si>
    <t>Almugait</t>
  </si>
  <si>
    <t>Marwah</t>
  </si>
  <si>
    <t>Almulhim</t>
  </si>
  <si>
    <t>Nasser</t>
  </si>
  <si>
    <t>Almutlaq​</t>
  </si>
  <si>
    <t>Alnasir​</t>
  </si>
  <si>
    <t>AlNaymah</t>
  </si>
  <si>
    <t>AlNeami​</t>
  </si>
  <si>
    <t>Arwa</t>
  </si>
  <si>
    <t>AlNuman</t>
  </si>
  <si>
    <t>Faisal Saleh</t>
  </si>
  <si>
    <t>Alofi</t>
  </si>
  <si>
    <t>Moath</t>
  </si>
  <si>
    <t>AlOthman</t>
  </si>
  <si>
    <t>AlQadiri</t>
  </si>
  <si>
    <t>Monira</t>
  </si>
  <si>
    <t>AlQasimi ​</t>
  </si>
  <si>
    <t>Farah</t>
  </si>
  <si>
    <t>Alqubaisi</t>
  </si>
  <si>
    <t>Najla</t>
  </si>
  <si>
    <t>AlQunibit</t>
  </si>
  <si>
    <t>Wafa</t>
  </si>
  <si>
    <t>AlRashed</t>
  </si>
  <si>
    <t>Balqis</t>
  </si>
  <si>
    <t>Alroqi</t>
  </si>
  <si>
    <t>Ziyad</t>
  </si>
  <si>
    <t>Alruzaiza</t>
  </si>
  <si>
    <t>Alsafi</t>
  </si>
  <si>
    <t>Obaid</t>
  </si>
  <si>
    <t>AlSaie​</t>
  </si>
  <si>
    <t>Mashael</t>
  </si>
  <si>
    <t>AlSaleem</t>
  </si>
  <si>
    <t>AlSaleh</t>
  </si>
  <si>
    <t>Daniah</t>
  </si>
  <si>
    <t>AlSalem</t>
  </si>
  <si>
    <t>Suliman</t>
  </si>
  <si>
    <t>AlSanie</t>
  </si>
  <si>
    <t>AlSharif</t>
  </si>
  <si>
    <t>Noha</t>
  </si>
  <si>
    <t>AlShashai</t>
  </si>
  <si>
    <t>Rashed</t>
  </si>
  <si>
    <t>AlShehri</t>
  </si>
  <si>
    <t>Rawan</t>
  </si>
  <si>
    <t>AlShemimry (DesertF!sh)</t>
  </si>
  <si>
    <t xml:space="preserve">Nasser </t>
  </si>
  <si>
    <t>Alshetairy</t>
  </si>
  <si>
    <t>Donia</t>
  </si>
  <si>
    <t>AlSoliman</t>
  </si>
  <si>
    <t>Abdulrahman</t>
  </si>
  <si>
    <t>AlSubaie</t>
  </si>
  <si>
    <t>Alsudairy</t>
  </si>
  <si>
    <t>Nojoud</t>
  </si>
  <si>
    <t>AlThagafi</t>
  </si>
  <si>
    <t>AlTokhais</t>
  </si>
  <si>
    <t>Altukhaes</t>
  </si>
  <si>
    <t>Talal</t>
  </si>
  <si>
    <t>AlTurki</t>
  </si>
  <si>
    <t>Alvarez</t>
  </si>
  <si>
    <t>Fernando "Nando"</t>
  </si>
  <si>
    <t>Spain</t>
  </si>
  <si>
    <t>Javier</t>
  </si>
  <si>
    <t>Germany</t>
  </si>
  <si>
    <t>Alvariño</t>
  </si>
  <si>
    <t>Oscar</t>
  </si>
  <si>
    <t>Amae</t>
  </si>
  <si>
    <t>Ryuta</t>
  </si>
  <si>
    <t>Japan</t>
  </si>
  <si>
    <t>Amer</t>
  </si>
  <si>
    <t>Ghada</t>
  </si>
  <si>
    <t>Egypt</t>
  </si>
  <si>
    <t>Anadol</t>
  </si>
  <si>
    <t>Refik</t>
  </si>
  <si>
    <t>Andrianomearisoa</t>
  </si>
  <si>
    <t>Joël</t>
  </si>
  <si>
    <t>Angawi</t>
  </si>
  <si>
    <t>Ahmad</t>
  </si>
  <si>
    <t>Argote</t>
  </si>
  <si>
    <t>Iván</t>
  </si>
  <si>
    <t>Colombia</t>
  </si>
  <si>
    <t>Armour​</t>
  </si>
  <si>
    <t>Dana-Fiona</t>
  </si>
  <si>
    <t>Arsham</t>
  </si>
  <si>
    <t>Daniel</t>
  </si>
  <si>
    <t>Asakawa</t>
  </si>
  <si>
    <t>Hiroyuki</t>
  </si>
  <si>
    <t>Ashour</t>
  </si>
  <si>
    <t>Raeda</t>
  </si>
  <si>
    <t>Atchugarry</t>
  </si>
  <si>
    <t>Pablo</t>
  </si>
  <si>
    <t>Athier Mousawi</t>
  </si>
  <si>
    <t xml:space="preserve">Attukwei Clottey </t>
  </si>
  <si>
    <t>Serge</t>
  </si>
  <si>
    <t>Ghana</t>
  </si>
  <si>
    <t>Avilés</t>
  </si>
  <si>
    <t>Arno</t>
  </si>
  <si>
    <t>Mexico</t>
  </si>
  <si>
    <t>Awartani</t>
  </si>
  <si>
    <t>Dana</t>
  </si>
  <si>
    <t>Aycock</t>
  </si>
  <si>
    <t>Alice</t>
  </si>
  <si>
    <t>Baier</t>
  </si>
  <si>
    <t>Nicolas</t>
  </si>
  <si>
    <t>Canada</t>
  </si>
  <si>
    <t>Bailey</t>
  </si>
  <si>
    <t>Xenobia</t>
  </si>
  <si>
    <t>Baker</t>
  </si>
  <si>
    <t>Ghazi</t>
  </si>
  <si>
    <t>Lebanon</t>
  </si>
  <si>
    <t>Baladi</t>
  </si>
  <si>
    <t>Lara</t>
  </si>
  <si>
    <t>Banfi</t>
  </si>
  <si>
    <t>Chiara</t>
  </si>
  <si>
    <t>Brazil</t>
  </si>
  <si>
    <t>Barrios</t>
  </si>
  <si>
    <t>Rafael</t>
  </si>
  <si>
    <t>Bartenev</t>
  </si>
  <si>
    <t>Andrey</t>
  </si>
  <si>
    <t>Basa</t>
  </si>
  <si>
    <t>Lynn</t>
  </si>
  <si>
    <t>Bastiani</t>
  </si>
  <si>
    <t>Michelangelo</t>
  </si>
  <si>
    <t>Batchelor</t>
  </si>
  <si>
    <t>David</t>
  </si>
  <si>
    <t>Bauder</t>
  </si>
  <si>
    <t>Christopher</t>
  </si>
  <si>
    <t>Baur</t>
  </si>
  <si>
    <t>Mike</t>
  </si>
  <si>
    <t>Beasley</t>
  </si>
  <si>
    <t>Bruce</t>
  </si>
  <si>
    <t>Begum</t>
  </si>
  <si>
    <t>Behbehani</t>
  </si>
  <si>
    <t>Beil</t>
  </si>
  <si>
    <t>Raphael</t>
  </si>
  <si>
    <t>Bell</t>
  </si>
  <si>
    <t>Larry</t>
  </si>
  <si>
    <t>Ben Khelil</t>
  </si>
  <si>
    <t>Yesmin</t>
  </si>
  <si>
    <t>Tunisia</t>
  </si>
  <si>
    <t>Bengolea​</t>
  </si>
  <si>
    <t>Cecilia</t>
  </si>
  <si>
    <t>Argentina</t>
  </si>
  <si>
    <t>Benton</t>
  </si>
  <si>
    <t>Christopher Joshua</t>
  </si>
  <si>
    <t>Berned</t>
  </si>
  <si>
    <t>Arturo</t>
  </si>
  <si>
    <t>Berrada</t>
  </si>
  <si>
    <t>Hicham</t>
  </si>
  <si>
    <t>Morocco</t>
  </si>
  <si>
    <t>Berthonneau</t>
  </si>
  <si>
    <t>Christophe</t>
  </si>
  <si>
    <t>France</t>
  </si>
  <si>
    <t>Beshara</t>
  </si>
  <si>
    <t>Khairy</t>
  </si>
  <si>
    <t>Biao</t>
  </si>
  <si>
    <t>Wang</t>
  </si>
  <si>
    <t>Bin Fahad</t>
  </si>
  <si>
    <t>Sultan</t>
  </si>
  <si>
    <t>Blais</t>
  </si>
  <si>
    <t>Jean-Charles</t>
  </si>
  <si>
    <t>Bogin</t>
  </si>
  <si>
    <t>Greg</t>
  </si>
  <si>
    <t>Bolter</t>
  </si>
  <si>
    <t>Leif</t>
  </si>
  <si>
    <t>Sweden</t>
  </si>
  <si>
    <t>Bondi​</t>
  </si>
  <si>
    <t>Bianca</t>
  </si>
  <si>
    <t>South Africa</t>
  </si>
  <si>
    <t>Bonello</t>
  </si>
  <si>
    <t>Angelo</t>
  </si>
  <si>
    <t>Bordos</t>
  </si>
  <si>
    <t>László Zsolt</t>
  </si>
  <si>
    <t>Borras</t>
  </si>
  <si>
    <t>Giselle</t>
  </si>
  <si>
    <t>Botana</t>
  </si>
  <si>
    <t>Susana</t>
  </si>
  <si>
    <t>Bouhchichi</t>
  </si>
  <si>
    <t>M'barek</t>
  </si>
  <si>
    <t>Braceli</t>
  </si>
  <si>
    <t>Miguel</t>
  </si>
  <si>
    <t>Brahim</t>
  </si>
  <si>
    <t>Brüggemann​</t>
  </si>
  <si>
    <t>Stefan</t>
  </si>
  <si>
    <t>Brunello</t>
  </si>
  <si>
    <t>Renato</t>
  </si>
  <si>
    <t>Buck</t>
  </si>
  <si>
    <t>Jon</t>
  </si>
  <si>
    <t>Burdon</t>
  </si>
  <si>
    <t>Sebastian</t>
  </si>
  <si>
    <t>Poland</t>
  </si>
  <si>
    <t>Buren</t>
  </si>
  <si>
    <t>Burman</t>
  </si>
  <si>
    <t xml:space="preserve">Chila Kumari </t>
  </si>
  <si>
    <t>Buroni (Stark)</t>
  </si>
  <si>
    <t>Paolo</t>
  </si>
  <si>
    <t>Büyüktașciyan</t>
  </si>
  <si>
    <t>Hera</t>
  </si>
  <si>
    <t>Cabrita Reis</t>
  </si>
  <si>
    <t>Pedro</t>
  </si>
  <si>
    <t>Portugal</t>
  </si>
  <si>
    <t>Caccuri​</t>
  </si>
  <si>
    <t>Vivian</t>
  </si>
  <si>
    <t>Cagol</t>
  </si>
  <si>
    <t>Stefano</t>
  </si>
  <si>
    <t>Caicedo</t>
  </si>
  <si>
    <t>Juan</t>
  </si>
  <si>
    <t>Caillard</t>
  </si>
  <si>
    <t>Léo</t>
  </si>
  <si>
    <t>Caldwell</t>
  </si>
  <si>
    <t>Luisa</t>
  </si>
  <si>
    <t>Campbell</t>
  </si>
  <si>
    <t>Jim</t>
  </si>
  <si>
    <t>Canogar</t>
  </si>
  <si>
    <t>Cantoni</t>
  </si>
  <si>
    <t>Rejane</t>
  </si>
  <si>
    <t>Cartwright</t>
  </si>
  <si>
    <t>Jacob Lucius</t>
  </si>
  <si>
    <t>Australia</t>
  </si>
  <si>
    <t>Castedo</t>
  </si>
  <si>
    <t>Manuel</t>
  </si>
  <si>
    <t>Cattelan</t>
  </si>
  <si>
    <t>Maurizio</t>
  </si>
  <si>
    <t>Cauer</t>
  </si>
  <si>
    <t>Birgit</t>
  </si>
  <si>
    <t>Cecchini</t>
  </si>
  <si>
    <t>Loris</t>
  </si>
  <si>
    <t>Cerny</t>
  </si>
  <si>
    <t>Chafer</t>
  </si>
  <si>
    <t>Jose</t>
  </si>
  <si>
    <t>Chaia</t>
  </si>
  <si>
    <t>Lia</t>
  </si>
  <si>
    <t>Cherri</t>
  </si>
  <si>
    <t>Cheung</t>
  </si>
  <si>
    <t>Chris</t>
  </si>
  <si>
    <t>China</t>
  </si>
  <si>
    <t>Chevalier</t>
  </si>
  <si>
    <t>Chia</t>
  </si>
  <si>
    <t>Sandro</t>
  </si>
  <si>
    <t>Chincișan</t>
  </si>
  <si>
    <t>Vali</t>
  </si>
  <si>
    <t>Romania</t>
  </si>
  <si>
    <t>Chinneck</t>
  </si>
  <si>
    <t>Alex</t>
  </si>
  <si>
    <t>Chi-Tsung</t>
  </si>
  <si>
    <t xml:space="preserve">Wu </t>
  </si>
  <si>
    <t>Chourouk ​</t>
  </si>
  <si>
    <t>Hriech</t>
  </si>
  <si>
    <t>Chowdhary</t>
  </si>
  <si>
    <t>Lubna</t>
  </si>
  <si>
    <t>Ann</t>
  </si>
  <si>
    <t>Chuan Yan</t>
  </si>
  <si>
    <t>Chong</t>
  </si>
  <si>
    <t>Chugunova</t>
  </si>
  <si>
    <t>Vasilisa</t>
  </si>
  <si>
    <t>Cianfanelli</t>
  </si>
  <si>
    <t>Marco</t>
  </si>
  <si>
    <t>Ciceri</t>
  </si>
  <si>
    <t>Umberto</t>
  </si>
  <si>
    <t>Claassen</t>
  </si>
  <si>
    <t>Tom</t>
  </si>
  <si>
    <t>Claudio Rimmele &amp; Martin Binder</t>
  </si>
  <si>
    <t>Collins</t>
  </si>
  <si>
    <t>Annick</t>
  </si>
  <si>
    <t>Comendador</t>
  </si>
  <si>
    <t>Oscar A.</t>
  </si>
  <si>
    <t>Cuba</t>
  </si>
  <si>
    <t>Comte</t>
  </si>
  <si>
    <t>Claudia</t>
  </si>
  <si>
    <t>Switzerland</t>
  </si>
  <si>
    <t>Conde</t>
  </si>
  <si>
    <t>Ramon</t>
  </si>
  <si>
    <t>Cooper</t>
  </si>
  <si>
    <t>Barbara</t>
  </si>
  <si>
    <t>Corday</t>
  </si>
  <si>
    <t>Christine</t>
  </si>
  <si>
    <t>Corse</t>
  </si>
  <si>
    <t>Mary</t>
  </si>
  <si>
    <t>Cortright</t>
  </si>
  <si>
    <t>Petra</t>
  </si>
  <si>
    <t>Cousin</t>
  </si>
  <si>
    <t xml:space="preserve">Guillaume </t>
  </si>
  <si>
    <t>Cpajak</t>
  </si>
  <si>
    <t>Djordje</t>
  </si>
  <si>
    <t>Cragg</t>
  </si>
  <si>
    <t>Tony</t>
  </si>
  <si>
    <t>Cunha</t>
  </si>
  <si>
    <t>Patricia</t>
  </si>
  <si>
    <t>Dávila​</t>
  </si>
  <si>
    <t>Dawood</t>
  </si>
  <si>
    <t>Shezad</t>
  </si>
  <si>
    <t>Daydban</t>
  </si>
  <si>
    <t>Ayman Yossri</t>
  </si>
  <si>
    <t>De Azambuja</t>
  </si>
  <si>
    <t>Marlon</t>
  </si>
  <si>
    <t>de Nijs</t>
  </si>
  <si>
    <t>Marnix</t>
  </si>
  <si>
    <t>De Ruysscher</t>
  </si>
  <si>
    <t>Kim</t>
  </si>
  <si>
    <t>Belgium</t>
  </si>
  <si>
    <t>De Thelin</t>
  </si>
  <si>
    <t>Roseline</t>
  </si>
  <si>
    <t>Deér</t>
  </si>
  <si>
    <t>Katalin</t>
  </si>
  <si>
    <t>Depeli</t>
  </si>
  <si>
    <t>Furkan</t>
  </si>
  <si>
    <t>Deroo</t>
  </si>
  <si>
    <t>Devlin</t>
  </si>
  <si>
    <t>Es</t>
  </si>
  <si>
    <t>Di Meo</t>
  </si>
  <si>
    <t>Mattia</t>
  </si>
  <si>
    <t>Di Prospero</t>
  </si>
  <si>
    <t>Marino</t>
  </si>
  <si>
    <t>Dieci</t>
  </si>
  <si>
    <t>Fabrizio</t>
  </si>
  <si>
    <t>Diez</t>
  </si>
  <si>
    <t>Jordi</t>
  </si>
  <si>
    <t>Dine</t>
  </si>
  <si>
    <t>Diogo Machado ADD FUEL</t>
  </si>
  <si>
    <t>Dionea Cicconi</t>
  </si>
  <si>
    <t>Edoardo</t>
  </si>
  <si>
    <t>Domenech​</t>
  </si>
  <si>
    <t>Dorici</t>
  </si>
  <si>
    <t>Dranysh</t>
  </si>
  <si>
    <t>Xenia</t>
  </si>
  <si>
    <t>Du</t>
  </si>
  <si>
    <t>Dunbar</t>
  </si>
  <si>
    <t>Michael</t>
  </si>
  <si>
    <t>Durant​</t>
  </si>
  <si>
    <t>Sam</t>
  </si>
  <si>
    <t>Dusavitskiy</t>
  </si>
  <si>
    <t>Gleb</t>
  </si>
  <si>
    <t>Denmark</t>
  </si>
  <si>
    <t>Dzama</t>
  </si>
  <si>
    <t>Marcel</t>
  </si>
  <si>
    <t>Ebtekar</t>
  </si>
  <si>
    <t>Ala</t>
  </si>
  <si>
    <t>Echelman</t>
  </si>
  <si>
    <t>Janet</t>
  </si>
  <si>
    <t>Edmark</t>
  </si>
  <si>
    <t>John</t>
  </si>
  <si>
    <t>Eftimovski</t>
  </si>
  <si>
    <t>Aleksandar</t>
  </si>
  <si>
    <t>Eisenman</t>
  </si>
  <si>
    <t>Nicole</t>
  </si>
  <si>
    <t>El Anatsui</t>
  </si>
  <si>
    <t>El Malak</t>
  </si>
  <si>
    <t>Faissal</t>
  </si>
  <si>
    <t>El Mansy</t>
  </si>
  <si>
    <t>Mansour</t>
  </si>
  <si>
    <t>El Salahi</t>
  </si>
  <si>
    <t>Ibrahim</t>
  </si>
  <si>
    <t>El Zein</t>
  </si>
  <si>
    <t>Elgibreen</t>
  </si>
  <si>
    <t>Eiman</t>
  </si>
  <si>
    <t>Elnemr</t>
  </si>
  <si>
    <t>Elsayad</t>
  </si>
  <si>
    <t>Mohamed</t>
  </si>
  <si>
    <t>Elshahed</t>
  </si>
  <si>
    <t>Abdelrahman</t>
  </si>
  <si>
    <t>Emvy</t>
  </si>
  <si>
    <t>Gregory</t>
  </si>
  <si>
    <t>Erlich</t>
  </si>
  <si>
    <t>Leandro</t>
  </si>
  <si>
    <t>Ermakov</t>
  </si>
  <si>
    <t>Roman</t>
  </si>
  <si>
    <t>Esterbauer</t>
  </si>
  <si>
    <t>Austria</t>
  </si>
  <si>
    <t>Estrella</t>
  </si>
  <si>
    <t>Milton</t>
  </si>
  <si>
    <t>Eun Sun</t>
  </si>
  <si>
    <t>Park</t>
  </si>
  <si>
    <t>Fadag</t>
  </si>
  <si>
    <t>Effat</t>
  </si>
  <si>
    <t>Fadul</t>
  </si>
  <si>
    <t>Walaa</t>
  </si>
  <si>
    <t xml:space="preserve">Farea </t>
  </si>
  <si>
    <t>Farhan</t>
  </si>
  <si>
    <t>Farid Tadrous</t>
  </si>
  <si>
    <t>Nagi</t>
  </si>
  <si>
    <t>Farkas​</t>
  </si>
  <si>
    <t>Farto (a.k.a. Vhils)</t>
  </si>
  <si>
    <t>Alexandre</t>
  </si>
  <si>
    <t>Fasoli</t>
  </si>
  <si>
    <t>Marica</t>
  </si>
  <si>
    <t>Fei</t>
  </si>
  <si>
    <t>Cao</t>
  </si>
  <si>
    <t>Felemban</t>
  </si>
  <si>
    <t>Basmah</t>
  </si>
  <si>
    <t>Ferraris</t>
  </si>
  <si>
    <t>Carlo</t>
  </si>
  <si>
    <t>Ferro</t>
  </si>
  <si>
    <t>Emilio</t>
  </si>
  <si>
    <t>Fest</t>
  </si>
  <si>
    <t>Rainer</t>
  </si>
  <si>
    <t>Firman</t>
  </si>
  <si>
    <t>Fischer</t>
  </si>
  <si>
    <t>Richard</t>
  </si>
  <si>
    <t>Urs</t>
  </si>
  <si>
    <t>Fleissig</t>
  </si>
  <si>
    <t>Nicolae</t>
  </si>
  <si>
    <t>Fox</t>
  </si>
  <si>
    <t>Fragatiero</t>
  </si>
  <si>
    <t>Fernanda</t>
  </si>
  <si>
    <t>Framis</t>
  </si>
  <si>
    <t>Alicia</t>
  </si>
  <si>
    <t>Frank</t>
  </si>
  <si>
    <t>Felix</t>
  </si>
  <si>
    <t>Franke</t>
  </si>
  <si>
    <t xml:space="preserve">Ivana </t>
  </si>
  <si>
    <t>Frolova</t>
  </si>
  <si>
    <t>Sasha</t>
  </si>
  <si>
    <t>Fruin</t>
  </si>
  <si>
    <t>Fujimoto</t>
  </si>
  <si>
    <t>Shohei</t>
  </si>
  <si>
    <t>Gamhawi</t>
  </si>
  <si>
    <t>Saeed</t>
  </si>
  <si>
    <t>Garel</t>
  </si>
  <si>
    <t>Quentin</t>
  </si>
  <si>
    <t>Gazzaz</t>
  </si>
  <si>
    <t>Lina</t>
  </si>
  <si>
    <t>Gebaan</t>
  </si>
  <si>
    <t>Georgiev</t>
  </si>
  <si>
    <t>Rafail</t>
  </si>
  <si>
    <t>Bulgaria</t>
  </si>
  <si>
    <t>Gharem</t>
  </si>
  <si>
    <t>Abdulnasser</t>
  </si>
  <si>
    <t>Ajlan</t>
  </si>
  <si>
    <t>Giampaoli</t>
  </si>
  <si>
    <t>Valentino</t>
  </si>
  <si>
    <t>Ginzburg</t>
  </si>
  <si>
    <t>Anton</t>
  </si>
  <si>
    <t>Gogaberishvili</t>
  </si>
  <si>
    <t>Jhon</t>
  </si>
  <si>
    <t>Georgia</t>
  </si>
  <si>
    <t>Good</t>
  </si>
  <si>
    <t>Rob</t>
  </si>
  <si>
    <t>Goodman</t>
  </si>
  <si>
    <t>Neil</t>
  </si>
  <si>
    <t>Gordon</t>
  </si>
  <si>
    <t>Douglas</t>
  </si>
  <si>
    <t>Grasso</t>
  </si>
  <si>
    <t>Laurent</t>
  </si>
  <si>
    <t>Grawunder</t>
  </si>
  <si>
    <t>Johanna</t>
  </si>
  <si>
    <t>Groselj</t>
  </si>
  <si>
    <t>Janez</t>
  </si>
  <si>
    <t>Slovenia</t>
  </si>
  <si>
    <t>Guirguis</t>
  </si>
  <si>
    <t>Sherin</t>
  </si>
  <si>
    <t>Gupta</t>
  </si>
  <si>
    <t>Shilpa</t>
  </si>
  <si>
    <t>India</t>
  </si>
  <si>
    <t>Subodh</t>
  </si>
  <si>
    <t>Haghighi</t>
  </si>
  <si>
    <t>Majid</t>
  </si>
  <si>
    <t>Hajjaj</t>
  </si>
  <si>
    <t>Hassan</t>
  </si>
  <si>
    <t>Halatek</t>
  </si>
  <si>
    <t>Karolina</t>
  </si>
  <si>
    <t>Hall</t>
  </si>
  <si>
    <t>Nigel</t>
  </si>
  <si>
    <t>Hammad</t>
  </si>
  <si>
    <t>Hammas</t>
  </si>
  <si>
    <t>Hank Willis</t>
  </si>
  <si>
    <t>Thomas</t>
  </si>
  <si>
    <t>Haroshi</t>
  </si>
  <si>
    <t>Hart</t>
  </si>
  <si>
    <t>Hasper</t>
  </si>
  <si>
    <t>Graciela</t>
  </si>
  <si>
    <t>Hawa</t>
  </si>
  <si>
    <t>Kameel</t>
  </si>
  <si>
    <t>Hawsawi</t>
  </si>
  <si>
    <t>Bashaer</t>
  </si>
  <si>
    <t>Hazbar</t>
  </si>
  <si>
    <t>Talin</t>
  </si>
  <si>
    <t>Heijdens​</t>
  </si>
  <si>
    <t>Simon</t>
  </si>
  <si>
    <t>Hein​</t>
  </si>
  <si>
    <t>Jeppe</t>
  </si>
  <si>
    <t>Heizer</t>
  </si>
  <si>
    <t>Hendrix</t>
  </si>
  <si>
    <t>Jan</t>
  </si>
  <si>
    <t>Henke</t>
  </si>
  <si>
    <t>Lena</t>
  </si>
  <si>
    <t>Henrot</t>
  </si>
  <si>
    <t>Camille</t>
  </si>
  <si>
    <t>Hentschläger</t>
  </si>
  <si>
    <t>Kurt</t>
  </si>
  <si>
    <t>Hildebrandt​</t>
  </si>
  <si>
    <t>Gregor</t>
  </si>
  <si>
    <t>Himmelfarb</t>
  </si>
  <si>
    <t>Hoeft</t>
  </si>
  <si>
    <t>Roland</t>
  </si>
  <si>
    <t>Hofman</t>
  </si>
  <si>
    <t>Florentijn</t>
  </si>
  <si>
    <t>Hollander</t>
  </si>
  <si>
    <t>Madeline</t>
  </si>
  <si>
    <t>Höller</t>
  </si>
  <si>
    <t>Carsten</t>
  </si>
  <si>
    <t>Hooper Schneider​</t>
  </si>
  <si>
    <t>Max</t>
  </si>
  <si>
    <t>Houseago</t>
  </si>
  <si>
    <t>Houshiary</t>
  </si>
  <si>
    <t>Shirazeh</t>
  </si>
  <si>
    <t>Hunsicker</t>
  </si>
  <si>
    <t>Klaus F.</t>
  </si>
  <si>
    <t>Hurwitz</t>
  </si>
  <si>
    <t>Jonty</t>
  </si>
  <si>
    <t>Hussain</t>
  </si>
  <si>
    <t>Zarah</t>
  </si>
  <si>
    <t>Hwang</t>
  </si>
  <si>
    <t>Seungwoo</t>
  </si>
  <si>
    <t>Mohammed Ahmed</t>
  </si>
  <si>
    <t>Ikeda</t>
  </si>
  <si>
    <t>Ryoji</t>
  </si>
  <si>
    <t>Isla</t>
  </si>
  <si>
    <t>Ito</t>
  </si>
  <si>
    <t>Shun</t>
  </si>
  <si>
    <t>Ivanova</t>
  </si>
  <si>
    <t>Natacha</t>
  </si>
  <si>
    <t>Jace</t>
  </si>
  <si>
    <t>Jamal​</t>
  </si>
  <si>
    <t>Aziz</t>
  </si>
  <si>
    <t>Jameel</t>
  </si>
  <si>
    <t>Essam</t>
  </si>
  <si>
    <t>Jassim</t>
  </si>
  <si>
    <t>Zaman</t>
  </si>
  <si>
    <t>Jean</t>
  </si>
  <si>
    <t>Norma</t>
  </si>
  <si>
    <t>Jeong-Hwa</t>
  </si>
  <si>
    <t>Choi</t>
  </si>
  <si>
    <t>Jianguo</t>
  </si>
  <si>
    <t>Sui</t>
  </si>
  <si>
    <t>Jones</t>
  </si>
  <si>
    <t>Allen</t>
  </si>
  <si>
    <t>JonOne</t>
  </si>
  <si>
    <t>Jospin</t>
  </si>
  <si>
    <t>Eva</t>
  </si>
  <si>
    <t>Joteva</t>
  </si>
  <si>
    <t>Eli</t>
  </si>
  <si>
    <t>JR</t>
  </si>
  <si>
    <t>Junod Ponsard</t>
  </si>
  <si>
    <t>Nathalie</t>
  </si>
  <si>
    <t>Kaabi-Linke</t>
  </si>
  <si>
    <t>Nadia</t>
  </si>
  <si>
    <t>Kabbaj</t>
  </si>
  <si>
    <t>Ikram</t>
  </si>
  <si>
    <t>Kahn</t>
  </si>
  <si>
    <t>Misha</t>
  </si>
  <si>
    <t>Ned</t>
  </si>
  <si>
    <t>Kalab</t>
  </si>
  <si>
    <t>Kalish</t>
  </si>
  <si>
    <t>Kapoor</t>
  </si>
  <si>
    <t>Anish</t>
  </si>
  <si>
    <t>Karam</t>
  </si>
  <si>
    <t>Nadim</t>
  </si>
  <si>
    <t>Karlykhanov</t>
  </si>
  <si>
    <t>Nikolay</t>
  </si>
  <si>
    <t>Karpowicz</t>
  </si>
  <si>
    <t>Terrence</t>
  </si>
  <si>
    <t>Kattan​</t>
  </si>
  <si>
    <t>Dur</t>
  </si>
  <si>
    <t>Katz</t>
  </si>
  <si>
    <t>Kawamata</t>
  </si>
  <si>
    <t>Tadashi</t>
  </si>
  <si>
    <t>KAWS</t>
  </si>
  <si>
    <t>Kazma</t>
  </si>
  <si>
    <t>Kersalé</t>
  </si>
  <si>
    <t>Yann</t>
  </si>
  <si>
    <t>Khaled</t>
  </si>
  <si>
    <t>Mahmoud</t>
  </si>
  <si>
    <t xml:space="preserve">M </t>
  </si>
  <si>
    <t>Khan</t>
  </si>
  <si>
    <t>Idris</t>
  </si>
  <si>
    <t>Waqas</t>
  </si>
  <si>
    <t>Kiefer</t>
  </si>
  <si>
    <t>Anselm</t>
  </si>
  <si>
    <t>Yunchul</t>
  </si>
  <si>
    <t>Ayoung</t>
  </si>
  <si>
    <t>Kimsooja</t>
  </si>
  <si>
    <t>Kley</t>
  </si>
  <si>
    <t>Jo</t>
  </si>
  <si>
    <t>Klibansky</t>
  </si>
  <si>
    <t>Koch​</t>
  </si>
  <si>
    <t>Lúcia</t>
  </si>
  <si>
    <t>Kogler</t>
  </si>
  <si>
    <t>Peter</t>
  </si>
  <si>
    <t>Komel</t>
  </si>
  <si>
    <t>Damjan</t>
  </si>
  <si>
    <t>Komputery</t>
  </si>
  <si>
    <t>Ksawery</t>
  </si>
  <si>
    <t>Koons</t>
  </si>
  <si>
    <t>Jeff</t>
  </si>
  <si>
    <t>Kopach</t>
  </si>
  <si>
    <t>Viktar</t>
  </si>
  <si>
    <t>Belarus</t>
  </si>
  <si>
    <t>Koraichi</t>
  </si>
  <si>
    <t>Rachid</t>
  </si>
  <si>
    <t>Algeria</t>
  </si>
  <si>
    <t>Korver</t>
  </si>
  <si>
    <t>Anna</t>
  </si>
  <si>
    <t>New Zealand</t>
  </si>
  <si>
    <t>Kruip</t>
  </si>
  <si>
    <t>Germaine</t>
  </si>
  <si>
    <t>Kudsk Steesen​</t>
  </si>
  <si>
    <t>Jakob</t>
  </si>
  <si>
    <t>Kurokawa</t>
  </si>
  <si>
    <t>Ryoichi</t>
  </si>
  <si>
    <t>Kusama</t>
  </si>
  <si>
    <t>Yayoi</t>
  </si>
  <si>
    <t>Lakwena</t>
  </si>
  <si>
    <t>Laly​</t>
  </si>
  <si>
    <t>Sophie</t>
  </si>
  <si>
    <t>Lancelin</t>
  </si>
  <si>
    <t>Cyril</t>
  </si>
  <si>
    <t>Langholz</t>
  </si>
  <si>
    <t>Benjamin</t>
  </si>
  <si>
    <t>Lapierre</t>
  </si>
  <si>
    <t>Arnaud</t>
  </si>
  <si>
    <t>Laroche Joubert</t>
  </si>
  <si>
    <t>Eve</t>
  </si>
  <si>
    <t>Lavier</t>
  </si>
  <si>
    <t>Bertrand</t>
  </si>
  <si>
    <t>Le Parc</t>
  </si>
  <si>
    <t>Julio</t>
  </si>
  <si>
    <t>Leccia</t>
  </si>
  <si>
    <t>Ange</t>
  </si>
  <si>
    <t>Lee</t>
  </si>
  <si>
    <t>Jiyen</t>
  </si>
  <si>
    <t>Lindy</t>
  </si>
  <si>
    <t>Zih-cing</t>
  </si>
  <si>
    <t>Leirner</t>
  </si>
  <si>
    <t>Jac</t>
  </si>
  <si>
    <t>Leon</t>
  </si>
  <si>
    <t>Sebastien</t>
  </si>
  <si>
    <t>León</t>
  </si>
  <si>
    <t>Glenda</t>
  </si>
  <si>
    <t>Leroy</t>
  </si>
  <si>
    <t>Vincent</t>
  </si>
  <si>
    <t>Levine​</t>
  </si>
  <si>
    <t>Libeskind</t>
  </si>
  <si>
    <t>Lin</t>
  </si>
  <si>
    <t>Liu</t>
  </si>
  <si>
    <t>Dangyong</t>
  </si>
  <si>
    <t>Yang</t>
  </si>
  <si>
    <t>Lopez Garcia</t>
  </si>
  <si>
    <t>Antonio</t>
  </si>
  <si>
    <t>Lou</t>
  </si>
  <si>
    <t>Hola</t>
  </si>
  <si>
    <t>Louca</t>
  </si>
  <si>
    <t>Maurice</t>
  </si>
  <si>
    <t>Lovegrove</t>
  </si>
  <si>
    <t>Ross</t>
  </si>
  <si>
    <t>Lozano Hemmer</t>
  </si>
  <si>
    <t>Lutfi</t>
  </si>
  <si>
    <t>Lyublinsky</t>
  </si>
  <si>
    <t>Magdy</t>
  </si>
  <si>
    <t>Basim</t>
  </si>
  <si>
    <t>Maghazil</t>
  </si>
  <si>
    <t>Eyad</t>
  </si>
  <si>
    <t>Mahama</t>
  </si>
  <si>
    <t>Mahdaoui</t>
  </si>
  <si>
    <t>Nja</t>
  </si>
  <si>
    <t>Makhshoush (Kld Pxl)</t>
  </si>
  <si>
    <t>Malluh</t>
  </si>
  <si>
    <t>Maha</t>
  </si>
  <si>
    <t>Maluf</t>
  </si>
  <si>
    <t>Teresa Mariana</t>
  </si>
  <si>
    <t>Manglano-Ovalle</t>
  </si>
  <si>
    <t>Inigo</t>
  </si>
  <si>
    <t>Maravilla​</t>
  </si>
  <si>
    <t>Guadalupe</t>
  </si>
  <si>
    <t>El Salvador</t>
  </si>
  <si>
    <t>Marcelis</t>
  </si>
  <si>
    <t>Sabine</t>
  </si>
  <si>
    <t>Margulis</t>
  </si>
  <si>
    <t>Marketou</t>
  </si>
  <si>
    <t>Jenny</t>
  </si>
  <si>
    <t>Greece</t>
  </si>
  <si>
    <t>Markul​</t>
  </si>
  <si>
    <t>Angelika</t>
  </si>
  <si>
    <t>Marmentini</t>
  </si>
  <si>
    <t>Rhea</t>
  </si>
  <si>
    <t>Marmin</t>
  </si>
  <si>
    <t>Guillaume</t>
  </si>
  <si>
    <t>Marthine-Tayou</t>
  </si>
  <si>
    <t>Pascale</t>
  </si>
  <si>
    <t>Cameroon</t>
  </si>
  <si>
    <t>Marti</t>
  </si>
  <si>
    <t>Francesca</t>
  </si>
  <si>
    <t>Marturano</t>
  </si>
  <si>
    <t>Juan Pablo</t>
  </si>
  <si>
    <t>Marzouk</t>
  </si>
  <si>
    <t>Mona</t>
  </si>
  <si>
    <t>Mater</t>
  </si>
  <si>
    <t>Ahmed</t>
  </si>
  <si>
    <t>Matthew Clark - United Visual Artists (UVA)</t>
  </si>
  <si>
    <t>Mayer</t>
  </si>
  <si>
    <t>Charlotte</t>
  </si>
  <si>
    <t>Mazzotta</t>
  </si>
  <si>
    <t>Matthew</t>
  </si>
  <si>
    <t>Mcbride</t>
  </si>
  <si>
    <t>Rita</t>
  </si>
  <si>
    <t>Mercier</t>
  </si>
  <si>
    <t>Mathieu</t>
  </si>
  <si>
    <t>Merlet Briand</t>
  </si>
  <si>
    <t>Millán</t>
  </si>
  <si>
    <t>José</t>
  </si>
  <si>
    <t>Minchev</t>
  </si>
  <si>
    <t>Georgi</t>
  </si>
  <si>
    <t>Mirza</t>
  </si>
  <si>
    <t>Haroon</t>
  </si>
  <si>
    <t>Missika</t>
  </si>
  <si>
    <t>Adrien</t>
  </si>
  <si>
    <t>Missy (Lisa Di Scala)</t>
  </si>
  <si>
    <t>Mitevski</t>
  </si>
  <si>
    <t>Andrej</t>
  </si>
  <si>
    <t>North Macedonia</t>
  </si>
  <si>
    <t>Miura</t>
  </si>
  <si>
    <t>Yoshiyuki</t>
  </si>
  <si>
    <t>Miyazaki</t>
  </si>
  <si>
    <t>Keita</t>
  </si>
  <si>
    <t>Monge</t>
  </si>
  <si>
    <t>Carlos</t>
  </si>
  <si>
    <t>Montgomery</t>
  </si>
  <si>
    <t>Robert</t>
  </si>
  <si>
    <t>Morcillo</t>
  </si>
  <si>
    <t>Ricardo</t>
  </si>
  <si>
    <t>Mori</t>
  </si>
  <si>
    <t>Takayuki</t>
  </si>
  <si>
    <t>Mori​</t>
  </si>
  <si>
    <t>Mariko</t>
  </si>
  <si>
    <t>Morina</t>
  </si>
  <si>
    <t>Butrint</t>
  </si>
  <si>
    <t>Kosovo</t>
  </si>
  <si>
    <t>Morris</t>
  </si>
  <si>
    <t>Annie</t>
  </si>
  <si>
    <t>Muhtasib</t>
  </si>
  <si>
    <t>Mawadah</t>
  </si>
  <si>
    <t>Murakami</t>
  </si>
  <si>
    <t>Takashi</t>
  </si>
  <si>
    <t>Myrodias</t>
  </si>
  <si>
    <t>Antonis</t>
  </si>
  <si>
    <t>Mysko</t>
  </si>
  <si>
    <t>Lyudmyla</t>
  </si>
  <si>
    <t>Ukraine</t>
  </si>
  <si>
    <t>Naidenov</t>
  </si>
  <si>
    <t>Yana</t>
  </si>
  <si>
    <t>Mozambique</t>
  </si>
  <si>
    <t>Nakamura</t>
  </si>
  <si>
    <t>A. Kei</t>
  </si>
  <si>
    <t>Nasr</t>
  </si>
  <si>
    <t>Moataz</t>
  </si>
  <si>
    <t>Nassar</t>
  </si>
  <si>
    <t>Navarro</t>
  </si>
  <si>
    <t>Ivan</t>
  </si>
  <si>
    <t>Chile</t>
  </si>
  <si>
    <t>Nawa</t>
  </si>
  <si>
    <t>Kohei</t>
  </si>
  <si>
    <t>Nazer</t>
  </si>
  <si>
    <t>Filwa</t>
  </si>
  <si>
    <t>Negară</t>
  </si>
  <si>
    <t>Ana Maria Aurelia</t>
  </si>
  <si>
    <t>Neidich</t>
  </si>
  <si>
    <t>Warren</t>
  </si>
  <si>
    <t>Netzhammer</t>
  </si>
  <si>
    <t>Yves</t>
  </si>
  <si>
    <t xml:space="preserve">Neubach </t>
  </si>
  <si>
    <t>Charles</t>
  </si>
  <si>
    <t>Nguema</t>
  </si>
  <si>
    <t>Nicolai</t>
  </si>
  <si>
    <t>Olaf</t>
  </si>
  <si>
    <t>Nysten</t>
  </si>
  <si>
    <t>Anastasia</t>
  </si>
  <si>
    <t>O’Callaghan​</t>
  </si>
  <si>
    <t>Mel</t>
  </si>
  <si>
    <t>O’Connell</t>
  </si>
  <si>
    <t>Eilis</t>
  </si>
  <si>
    <t>Ofosu Boateng</t>
  </si>
  <si>
    <t>Derrick</t>
  </si>
  <si>
    <t>Ogata</t>
  </si>
  <si>
    <t>Yoshin</t>
  </si>
  <si>
    <t>Ohmaki</t>
  </si>
  <si>
    <t>Shinji</t>
  </si>
  <si>
    <t>Olivares</t>
  </si>
  <si>
    <t>Lorena</t>
  </si>
  <si>
    <t>Opie</t>
  </si>
  <si>
    <t>Julian</t>
  </si>
  <si>
    <t>Ortega</t>
  </si>
  <si>
    <t>Damián</t>
  </si>
  <si>
    <t>Osamah​</t>
  </si>
  <si>
    <t>Hayat</t>
  </si>
  <si>
    <t xml:space="preserve">OSGEMEOS​ </t>
  </si>
  <si>
    <t>Ostretsov</t>
  </si>
  <si>
    <t>Gosha</t>
  </si>
  <si>
    <t>Otero Torres</t>
  </si>
  <si>
    <t>Othoniel</t>
  </si>
  <si>
    <t>Jean Michael</t>
  </si>
  <si>
    <t>Ouattara</t>
  </si>
  <si>
    <t>Hyacinthe</t>
  </si>
  <si>
    <t>Burkina Faso</t>
  </si>
  <si>
    <t>Ouhaddou</t>
  </si>
  <si>
    <t>Oulab</t>
  </si>
  <si>
    <t>Yazid</t>
  </si>
  <si>
    <t>Ové</t>
  </si>
  <si>
    <t>Zak</t>
  </si>
  <si>
    <t>Palmieri</t>
  </si>
  <si>
    <t>Arianna</t>
  </si>
  <si>
    <t>Parmson</t>
  </si>
  <si>
    <t>Estonia</t>
  </si>
  <si>
    <t>Parreno​</t>
  </si>
  <si>
    <t>Philippe</t>
  </si>
  <si>
    <t>Partos</t>
  </si>
  <si>
    <t>Christian</t>
  </si>
  <si>
    <t>Patte</t>
  </si>
  <si>
    <t>Sylvain</t>
  </si>
  <si>
    <t>Paunovic</t>
  </si>
  <si>
    <t>Masa</t>
  </si>
  <si>
    <t>Penone</t>
  </si>
  <si>
    <t>Giuseppe</t>
  </si>
  <si>
    <t>Petrov</t>
  </si>
  <si>
    <t>Petre</t>
  </si>
  <si>
    <t>Petrova</t>
  </si>
  <si>
    <t>Agnessa</t>
  </si>
  <si>
    <t>Pétrovitch</t>
  </si>
  <si>
    <t>Françoise</t>
  </si>
  <si>
    <t>Phophkhadze</t>
  </si>
  <si>
    <t>Aleksandre</t>
  </si>
  <si>
    <t>Pini (Six N. Five)</t>
  </si>
  <si>
    <t xml:space="preserve">Ezequiel </t>
  </si>
  <si>
    <t>Pinto</t>
  </si>
  <si>
    <t>Fernando</t>
  </si>
  <si>
    <t>Pipilotti Rist</t>
  </si>
  <si>
    <t>Pistoletto</t>
  </si>
  <si>
    <t>Plensa</t>
  </si>
  <si>
    <t>Jaume</t>
  </si>
  <si>
    <t>Plessi</t>
  </si>
  <si>
    <t>Plumi</t>
  </si>
  <si>
    <t>Tula</t>
  </si>
  <si>
    <t>Pobornikova</t>
  </si>
  <si>
    <t>Lilya</t>
  </si>
  <si>
    <t>Polyakov</t>
  </si>
  <si>
    <t>Victor</t>
  </si>
  <si>
    <t>Pondik</t>
  </si>
  <si>
    <t>Rona</t>
  </si>
  <si>
    <t>Portnoy</t>
  </si>
  <si>
    <t>Pousttchi</t>
  </si>
  <si>
    <t>Bettina</t>
  </si>
  <si>
    <t>Prado</t>
  </si>
  <si>
    <t>Felipe</t>
  </si>
  <si>
    <t>Pruitt</t>
  </si>
  <si>
    <t>Qandeel</t>
  </si>
  <si>
    <t>Qing​</t>
  </si>
  <si>
    <t>Li</t>
  </si>
  <si>
    <t>Quayola</t>
  </si>
  <si>
    <t>Davide</t>
  </si>
  <si>
    <t>Quinn</t>
  </si>
  <si>
    <t>Lorenzo</t>
  </si>
  <si>
    <t>Quinze</t>
  </si>
  <si>
    <t>Arne</t>
  </si>
  <si>
    <t>Raad</t>
  </si>
  <si>
    <t>Walid</t>
  </si>
  <si>
    <t>Rahimi</t>
  </si>
  <si>
    <t>Zahra</t>
  </si>
  <si>
    <t>Rahmoun​</t>
  </si>
  <si>
    <t>Younes</t>
  </si>
  <si>
    <t>Ramirez</t>
  </si>
  <si>
    <t>Enrique</t>
  </si>
  <si>
    <t>Ranaldi</t>
  </si>
  <si>
    <t>Alessio</t>
  </si>
  <si>
    <t xml:space="preserve">Random International </t>
  </si>
  <si>
    <t>Rasinska</t>
  </si>
  <si>
    <t>Anna Teresa</t>
  </si>
  <si>
    <t>Rawanchaikul</t>
  </si>
  <si>
    <t>Navin</t>
  </si>
  <si>
    <t>Thailand</t>
  </si>
  <si>
    <t>Rehberger</t>
  </si>
  <si>
    <t>Tobias</t>
  </si>
  <si>
    <t>Reisinger</t>
  </si>
  <si>
    <t>Andrés</t>
  </si>
  <si>
    <t>Rennie</t>
  </si>
  <si>
    <t>Reko</t>
  </si>
  <si>
    <t>Reyes</t>
  </si>
  <si>
    <t>Rhode</t>
  </si>
  <si>
    <t>Robin</t>
  </si>
  <si>
    <t>Ribeiro</t>
  </si>
  <si>
    <t>Bruno</t>
  </si>
  <si>
    <t>Ridler</t>
  </si>
  <si>
    <t>Riera</t>
  </si>
  <si>
    <t>Rinck</t>
  </si>
  <si>
    <t>Roca</t>
  </si>
  <si>
    <t>Filip</t>
  </si>
  <si>
    <t>Rodriguez</t>
  </si>
  <si>
    <t>Mareo</t>
  </si>
  <si>
    <t>Rodriguez Caballero</t>
  </si>
  <si>
    <t>Rodriguez Graham</t>
  </si>
  <si>
    <t>Oscar Omar</t>
  </si>
  <si>
    <t>Rogers</t>
  </si>
  <si>
    <t>Andrew</t>
  </si>
  <si>
    <t>Romeo</t>
  </si>
  <si>
    <t>Martin</t>
  </si>
  <si>
    <t>Romman​</t>
  </si>
  <si>
    <t>Rondinone</t>
  </si>
  <si>
    <t>Ugo</t>
  </si>
  <si>
    <t>Rongrong</t>
  </si>
  <si>
    <t>Bi</t>
  </si>
  <si>
    <t>Roosegaarde</t>
  </si>
  <si>
    <t>Daan</t>
  </si>
  <si>
    <t>Rossner</t>
  </si>
  <si>
    <t>Roumagne​</t>
  </si>
  <si>
    <t>Gauthier</t>
  </si>
  <si>
    <t>Rozendaal​</t>
  </si>
  <si>
    <t>Rafaël</t>
  </si>
  <si>
    <t>Rubins</t>
  </si>
  <si>
    <t>Nancy</t>
  </si>
  <si>
    <t>Ruby</t>
  </si>
  <si>
    <t>Sterling</t>
  </si>
  <si>
    <t>Ruijters</t>
  </si>
  <si>
    <t>Sakai</t>
  </si>
  <si>
    <t>Tatsumi</t>
  </si>
  <si>
    <t>Saleh</t>
  </si>
  <si>
    <t>Ebtesam</t>
  </si>
  <si>
    <t>Samore​</t>
  </si>
  <si>
    <t>Sandison</t>
  </si>
  <si>
    <t>Sangam</t>
  </si>
  <si>
    <t>Vankhade</t>
  </si>
  <si>
    <t>Sangsoo</t>
  </si>
  <si>
    <t>Santin</t>
  </si>
  <si>
    <t>Saracino</t>
  </si>
  <si>
    <t>Elena</t>
  </si>
  <si>
    <t>Saudi</t>
  </si>
  <si>
    <t>Savvas</t>
  </si>
  <si>
    <t>Nike</t>
  </si>
  <si>
    <t>Sazdovski</t>
  </si>
  <si>
    <t>Sasho</t>
  </si>
  <si>
    <t>ScarlettMotiff (Noel Apitta)</t>
  </si>
  <si>
    <t>Uganda</t>
  </si>
  <si>
    <t>Schiavi</t>
  </si>
  <si>
    <t>Schönauer</t>
  </si>
  <si>
    <t>Schoukair</t>
  </si>
  <si>
    <t>Hala</t>
  </si>
  <si>
    <t>Schwartz</t>
  </si>
  <si>
    <t>Martha</t>
  </si>
  <si>
    <t>Schweder</t>
  </si>
  <si>
    <t>Scott</t>
  </si>
  <si>
    <t>Andy</t>
  </si>
  <si>
    <t>Seidel</t>
  </si>
  <si>
    <t>Self</t>
  </si>
  <si>
    <t>Tschabalala</t>
  </si>
  <si>
    <t>Senatore</t>
  </si>
  <si>
    <t>Marinella</t>
  </si>
  <si>
    <t>Sesalan</t>
  </si>
  <si>
    <t>Nilhan</t>
  </si>
  <si>
    <t>Shakeel</t>
  </si>
  <si>
    <t>Shawcross</t>
  </si>
  <si>
    <t>Conrad</t>
  </si>
  <si>
    <t>Shawky</t>
  </si>
  <si>
    <t>Wael</t>
  </si>
  <si>
    <t>Shechet</t>
  </si>
  <si>
    <t>Arlene</t>
  </si>
  <si>
    <t>Shonibare</t>
  </si>
  <si>
    <t>Yinka</t>
  </si>
  <si>
    <t>Shono</t>
  </si>
  <si>
    <t>Muhannad</t>
  </si>
  <si>
    <t>Shoplifter​ (Hrafnhildur Arnardóttir)</t>
  </si>
  <si>
    <t>Iceland</t>
  </si>
  <si>
    <t>Shortiss</t>
  </si>
  <si>
    <t>Bertha</t>
  </si>
  <si>
    <t>Sieberhagen</t>
  </si>
  <si>
    <t>Jaco</t>
  </si>
  <si>
    <t>Sigalot</t>
  </si>
  <si>
    <t>Daniele</t>
  </si>
  <si>
    <t>Sihua</t>
  </si>
  <si>
    <t>Qian</t>
  </si>
  <si>
    <t>Silverthorne</t>
  </si>
  <si>
    <t>Jeanne</t>
  </si>
  <si>
    <t>Simeti</t>
  </si>
  <si>
    <t xml:space="preserve">Francesco </t>
  </si>
  <si>
    <t>Simmonds</t>
  </si>
  <si>
    <t>Smith</t>
  </si>
  <si>
    <t>Shawn</t>
  </si>
  <si>
    <t>Smith III</t>
  </si>
  <si>
    <t>Philip K.</t>
  </si>
  <si>
    <t>Smith​</t>
  </si>
  <si>
    <t>Melanie</t>
  </si>
  <si>
    <t>Sobolev</t>
  </si>
  <si>
    <t>Mikhail</t>
  </si>
  <si>
    <t>Soekanto</t>
  </si>
  <si>
    <t>Innes</t>
  </si>
  <si>
    <t>Indonesia</t>
  </si>
  <si>
    <t>Sosenskaia</t>
  </si>
  <si>
    <t>Sosnowska</t>
  </si>
  <si>
    <t>Monika</t>
  </si>
  <si>
    <t>Soto​</t>
  </si>
  <si>
    <t>Edra</t>
  </si>
  <si>
    <t>Puerto Rico</t>
  </si>
  <si>
    <t>Spanghero</t>
  </si>
  <si>
    <t>Michele</t>
  </si>
  <si>
    <t>Spriggs</t>
  </si>
  <si>
    <t>SpY</t>
  </si>
  <si>
    <t>Stanza</t>
  </si>
  <si>
    <t>Steiner</t>
  </si>
  <si>
    <t>Reto</t>
  </si>
  <si>
    <t>Steinkamp</t>
  </si>
  <si>
    <t>Jennifer</t>
  </si>
  <si>
    <t>Stephenson</t>
  </si>
  <si>
    <t>Eric</t>
  </si>
  <si>
    <t>Stetco</t>
  </si>
  <si>
    <t>Galina</t>
  </si>
  <si>
    <t>Strachan</t>
  </si>
  <si>
    <t>Tavares</t>
  </si>
  <si>
    <t>Bahamas</t>
  </si>
  <si>
    <t>Stratimirovic</t>
  </si>
  <si>
    <t>Aleksandra</t>
  </si>
  <si>
    <t>Stricker</t>
  </si>
  <si>
    <t>Strukelj</t>
  </si>
  <si>
    <t>Arijel</t>
  </si>
  <si>
    <t>Sultan ​</t>
  </si>
  <si>
    <t>Abeer</t>
  </si>
  <si>
    <t>Sultov</t>
  </si>
  <si>
    <t>Radoslav</t>
  </si>
  <si>
    <t>Summer Wheat</t>
  </si>
  <si>
    <t>Svensson</t>
  </si>
  <si>
    <t>Syed</t>
  </si>
  <si>
    <t>Abdullah M.I.</t>
  </si>
  <si>
    <t>Taha</t>
  </si>
  <si>
    <t>Takatani (Dumb Type)</t>
  </si>
  <si>
    <t xml:space="preserve">Shiro </t>
  </si>
  <si>
    <t>Tanev</t>
  </si>
  <si>
    <t>Kamen</t>
  </si>
  <si>
    <t>Tardy</t>
  </si>
  <si>
    <t>Romain</t>
  </si>
  <si>
    <t>Tarek</t>
  </si>
  <si>
    <t>Aya</t>
  </si>
  <si>
    <t>Tateisi</t>
  </si>
  <si>
    <t>Jukan</t>
  </si>
  <si>
    <t>Thater</t>
  </si>
  <si>
    <t>Diana</t>
  </si>
  <si>
    <t>Topic</t>
  </si>
  <si>
    <t>Tomislav</t>
  </si>
  <si>
    <t>Traiq (Golden Ration)</t>
  </si>
  <si>
    <t>Maryam</t>
  </si>
  <si>
    <t>Tresoldi</t>
  </si>
  <si>
    <t>Tschopp</t>
  </si>
  <si>
    <t>Leila</t>
  </si>
  <si>
    <t>Tuazon ​</t>
  </si>
  <si>
    <t>Tucker</t>
  </si>
  <si>
    <t>William</t>
  </si>
  <si>
    <t>Turrel</t>
  </si>
  <si>
    <t>James</t>
  </si>
  <si>
    <t>Tuttofuoco</t>
  </si>
  <si>
    <t>Patrick</t>
  </si>
  <si>
    <t>Ullens</t>
  </si>
  <si>
    <t>Valdés</t>
  </si>
  <si>
    <t>Manolo</t>
  </si>
  <si>
    <t>van der Heide</t>
  </si>
  <si>
    <t>Edwin</t>
  </si>
  <si>
    <t>Van Imschoot</t>
  </si>
  <si>
    <t>Myriam</t>
  </si>
  <si>
    <t>Van Ommeren</t>
  </si>
  <si>
    <t>Karin</t>
  </si>
  <si>
    <t>Varini</t>
  </si>
  <si>
    <t>Felice</t>
  </si>
  <si>
    <t>Varotsos</t>
  </si>
  <si>
    <t>Costas</t>
  </si>
  <si>
    <t>Vasconcelos</t>
  </si>
  <si>
    <t>Joana</t>
  </si>
  <si>
    <t>Vasili</t>
  </si>
  <si>
    <t>Vasilis</t>
  </si>
  <si>
    <t>Vega</t>
  </si>
  <si>
    <t>Alejandro</t>
  </si>
  <si>
    <t>Venet</t>
  </si>
  <si>
    <t>Bernar</t>
  </si>
  <si>
    <t>Vergiliu</t>
  </si>
  <si>
    <t>Vermeulen</t>
  </si>
  <si>
    <t>Koert</t>
  </si>
  <si>
    <t>Verstand</t>
  </si>
  <si>
    <t>Nick</t>
  </si>
  <si>
    <t>Vigo</t>
  </si>
  <si>
    <t>Villafrañe</t>
  </si>
  <si>
    <t>Mariana</t>
  </si>
  <si>
    <t>Villareal</t>
  </si>
  <si>
    <t>Leo</t>
  </si>
  <si>
    <t>Vituli</t>
  </si>
  <si>
    <t>Valeria</t>
  </si>
  <si>
    <t>Volpi (dies_)</t>
  </si>
  <si>
    <t>Fabio</t>
  </si>
  <si>
    <t>Von Bismarck​</t>
  </si>
  <si>
    <t>Julius</t>
  </si>
  <si>
    <t>Von Rydingsvard</t>
  </si>
  <si>
    <t>Ursula</t>
  </si>
  <si>
    <t>Walala</t>
  </si>
  <si>
    <t>Ward</t>
  </si>
  <si>
    <t>Nari</t>
  </si>
  <si>
    <t>Jamaica</t>
  </si>
  <si>
    <t>Wasil</t>
  </si>
  <si>
    <t>Saddek</t>
  </si>
  <si>
    <t>West</t>
  </si>
  <si>
    <t>Liz</t>
  </si>
  <si>
    <t>White</t>
  </si>
  <si>
    <t>Wiharso</t>
  </si>
  <si>
    <t>Entang</t>
  </si>
  <si>
    <t>Wilson</t>
  </si>
  <si>
    <t>Wood</t>
  </si>
  <si>
    <t>Jonas</t>
  </si>
  <si>
    <t>Woods</t>
  </si>
  <si>
    <t>Claire</t>
  </si>
  <si>
    <t>Wurm​</t>
  </si>
  <si>
    <t>Erwin</t>
  </si>
  <si>
    <t>Xing</t>
  </si>
  <si>
    <t>Ye Hong</t>
  </si>
  <si>
    <t>Haegue</t>
  </si>
  <si>
    <t>Yannick</t>
  </si>
  <si>
    <t>Yasura</t>
  </si>
  <si>
    <t>Takeshi</t>
  </si>
  <si>
    <t>Yeh</t>
  </si>
  <si>
    <t>Chuan-Hsien</t>
  </si>
  <si>
    <t>Yousaf</t>
  </si>
  <si>
    <t>Jaha</t>
  </si>
  <si>
    <t>Yulong</t>
  </si>
  <si>
    <t>Huang</t>
  </si>
  <si>
    <t>Yuyang</t>
  </si>
  <si>
    <t>Zahid</t>
  </si>
  <si>
    <t>Zaki</t>
  </si>
  <si>
    <t>Zamora</t>
  </si>
  <si>
    <t>Héctor</t>
  </si>
  <si>
    <t>Zdey</t>
  </si>
  <si>
    <t>Tim</t>
  </si>
  <si>
    <t>Hong Kong</t>
  </si>
  <si>
    <t>Zdravkov</t>
  </si>
  <si>
    <t>Zdravko</t>
  </si>
  <si>
    <t>Zech</t>
  </si>
  <si>
    <t>Carola</t>
  </si>
  <si>
    <t>Zedani</t>
  </si>
  <si>
    <t>Ayman</t>
  </si>
  <si>
    <t>Zengzeng</t>
  </si>
  <si>
    <t xml:space="preserve">Zhang </t>
  </si>
  <si>
    <t>Zeta</t>
  </si>
  <si>
    <t>Pilar</t>
  </si>
  <si>
    <t>Zhoujie</t>
  </si>
  <si>
    <t>Zhang</t>
  </si>
  <si>
    <t>Art in Transit</t>
  </si>
  <si>
    <t>Qualified</t>
  </si>
  <si>
    <t>in collaboration with Constantine KSA, back-up Artist by MDM</t>
  </si>
  <si>
    <t>Art on the Move</t>
  </si>
  <si>
    <t>Not Qualified</t>
  </si>
  <si>
    <t>Noor Riyadh 2025</t>
  </si>
  <si>
    <t>Awarded</t>
  </si>
  <si>
    <t>Keep your eyes on the light: Into Another Garden</t>
  </si>
  <si>
    <t>installation</t>
  </si>
  <si>
    <t>KAHC</t>
  </si>
  <si>
    <t>Noor Riyadh 2022</t>
  </si>
  <si>
    <t>Eshroun Thalathoun: Tahawul (Twenty Thirty: Transformation)</t>
  </si>
  <si>
    <t>light installation</t>
  </si>
  <si>
    <t>JAX District Valley</t>
  </si>
  <si>
    <t>Festival 2022</t>
  </si>
  <si>
    <t>Al-Wahhab (The Giver)</t>
  </si>
  <si>
    <t>2D</t>
  </si>
  <si>
    <t>Station 6H1 - Al Salam</t>
  </si>
  <si>
    <t>in collaboration with MDM - Line 5&amp;6</t>
  </si>
  <si>
    <t>Not Awarded</t>
  </si>
  <si>
    <t>Noor Riyadh 2021</t>
  </si>
  <si>
    <t>Trees Speaking With Each Other</t>
  </si>
  <si>
    <t>JAX District</t>
  </si>
  <si>
    <t>Exhibition 2021</t>
  </si>
  <si>
    <t>In collaboration with ATHR</t>
  </si>
  <si>
    <t>Joyous Gardens</t>
  </si>
  <si>
    <t>In collaboration with Bottega 7</t>
  </si>
  <si>
    <t>Noor Riyadh 2023</t>
  </si>
  <si>
    <t>Nocturnal Visions</t>
  </si>
  <si>
    <t>video installation</t>
  </si>
  <si>
    <t>Exhibition 2023</t>
  </si>
  <si>
    <t>In collaboration with Satisfy</t>
  </si>
  <si>
    <t>Noor Riyadh 2024</t>
  </si>
  <si>
    <t>Sunbeam, Captured</t>
  </si>
  <si>
    <t>The River</t>
  </si>
  <si>
    <t>Exhibition</t>
  </si>
  <si>
    <t>TS 2023</t>
  </si>
  <si>
    <t xml:space="preserve">Not Qualified </t>
  </si>
  <si>
    <t>Untitled</t>
  </si>
  <si>
    <t>Station 3D3 - Dhahrat Al Badiah</t>
  </si>
  <si>
    <t xml:space="preserve">In collaboration with MassivArt - Line 3 </t>
  </si>
  <si>
    <t>In collaboration with Bureau Chekharda</t>
  </si>
  <si>
    <t>Temporary Isolation - 19</t>
  </si>
  <si>
    <t>2019 – 2022</t>
  </si>
  <si>
    <t>interactive installation</t>
  </si>
  <si>
    <t>Imam Muhammad bin Saud Square</t>
  </si>
  <si>
    <t>In collaboration with Craft</t>
  </si>
  <si>
    <t xml:space="preserve">- </t>
  </si>
  <si>
    <t>Proposed as back-up Artist by MDM Props</t>
  </si>
  <si>
    <t>Look Up and You’ll Find Me</t>
  </si>
  <si>
    <t>Wadi Namar</t>
  </si>
  <si>
    <t>Festival 2023</t>
  </si>
  <si>
    <t>TS 2025</t>
  </si>
  <si>
    <t>Trhab</t>
  </si>
  <si>
    <t>sculpture</t>
  </si>
  <si>
    <t>TS 2021</t>
  </si>
  <si>
    <t>Desert Lines</t>
  </si>
  <si>
    <t>Story of Land, Sea, and Stars</t>
  </si>
  <si>
    <t>multimedia installation</t>
  </si>
  <si>
    <t>Sukoon</t>
  </si>
  <si>
    <t>projection</t>
  </si>
  <si>
    <t>Mother’s Bracelets</t>
  </si>
  <si>
    <t>Site 1 - Airport Road / King Salman Road</t>
  </si>
  <si>
    <t>in collaboration with UAP</t>
  </si>
  <si>
    <t>Where are you, my shadow?</t>
  </si>
  <si>
    <t>KAFD</t>
  </si>
  <si>
    <t>Riyadh’s Eye</t>
  </si>
  <si>
    <t>Welcoming Gateways</t>
  </si>
  <si>
    <t>In collaboration with AND Architects (ON HOLD)</t>
  </si>
  <si>
    <t>In collaboration with Mark Hachem</t>
  </si>
  <si>
    <t>Thurayya</t>
  </si>
  <si>
    <t>TS 2024</t>
  </si>
  <si>
    <t>Breaking the Limits</t>
  </si>
  <si>
    <t>Science Park</t>
  </si>
  <si>
    <t>In collaboration with Gallery Scapes</t>
  </si>
  <si>
    <t>Walking Lights</t>
  </si>
  <si>
    <t>Ghadeer Walking Trail - Olaya Street</t>
  </si>
  <si>
    <t>Endless Arrival </t>
  </si>
  <si>
    <t>Perceiving Saudi Culture</t>
  </si>
  <si>
    <t>Elements Union</t>
  </si>
  <si>
    <t>The Infinite Blue</t>
  </si>
  <si>
    <t>digital installation</t>
  </si>
  <si>
    <t>KAFD - Mosque Plaza</t>
  </si>
  <si>
    <t>Festival 2021</t>
  </si>
  <si>
    <t>In collaboration with SETEC</t>
  </si>
  <si>
    <t>Paper Boat</t>
  </si>
  <si>
    <t>playground</t>
  </si>
  <si>
    <t>In collaboration with Kompan</t>
  </si>
  <si>
    <t>Lantern</t>
  </si>
  <si>
    <t>Meeting Point</t>
  </si>
  <si>
    <t>Almajlis: The Woven Echo</t>
  </si>
  <si>
    <t>Bronze</t>
  </si>
  <si>
    <t>Wadi Hanifa</t>
  </si>
  <si>
    <t>In collaboration with Balich</t>
  </si>
  <si>
    <t>Ambition</t>
  </si>
  <si>
    <t>Journey Through the Ripples of the Sand</t>
  </si>
  <si>
    <t xml:space="preserve">In collaboration with Adjaye Associates </t>
  </si>
  <si>
    <t xml:space="preserve">Awarded </t>
  </si>
  <si>
    <t>Sensation of Harmony</t>
  </si>
  <si>
    <t>Station 1Z1 - Dr. Sulaiman Al Habib</t>
  </si>
  <si>
    <t>Awarded with PICO - Line 1, qualified with Gerber Architekten</t>
  </si>
  <si>
    <t>Do we ever really remember the same?</t>
  </si>
  <si>
    <t>Salam Park</t>
  </si>
  <si>
    <t>Last Seen</t>
  </si>
  <si>
    <t>Mangiah</t>
  </si>
  <si>
    <t>Memo Light</t>
  </si>
  <si>
    <t>TS 2020</t>
  </si>
  <si>
    <t>Giving and Taking</t>
  </si>
  <si>
    <t>Thnan</t>
  </si>
  <si>
    <t>Exhibition 2022</t>
  </si>
  <si>
    <t>The Swarm</t>
  </si>
  <si>
    <t>The Sound of Millstone</t>
  </si>
  <si>
    <t>Harmony</t>
  </si>
  <si>
    <t>The Shadow Within</t>
  </si>
  <si>
    <t xml:space="preserve">interactive installation </t>
  </si>
  <si>
    <t>Qasr al Hokm Metro Station</t>
  </si>
  <si>
    <t>West Gateway</t>
  </si>
  <si>
    <t>Carving The Future</t>
  </si>
  <si>
    <t>AnNada South Park</t>
  </si>
  <si>
    <t>Sea of Tears</t>
  </si>
  <si>
    <t>Urban Art Lab</t>
  </si>
  <si>
    <t>In collaboration with E9 Production</t>
  </si>
  <si>
    <t>God Is Alive, He Shall Not Die</t>
  </si>
  <si>
    <t>Will Humans Exceed Their State of Being? (The State of Being Series)</t>
  </si>
  <si>
    <t>Dreams in Color</t>
  </si>
  <si>
    <t>The Zone</t>
  </si>
  <si>
    <t>Vision</t>
  </si>
  <si>
    <t>Spontaneity</t>
  </si>
  <si>
    <t>In collaboration with Armetal and Chila Kumari Burman</t>
  </si>
  <si>
    <t xml:space="preserve">in collaboration with Gerber Architekten </t>
  </si>
  <si>
    <t>Momentary Repercussions</t>
  </si>
  <si>
    <t>Station 6G2 - Khurais Road</t>
  </si>
  <si>
    <t>In collaboration with Modus</t>
  </si>
  <si>
    <t>Ricochet</t>
  </si>
  <si>
    <t>Cultural Palace - DQ</t>
  </si>
  <si>
    <t>TS 2019</t>
  </si>
  <si>
    <t>Continuous Points</t>
  </si>
  <si>
    <t>In collaboration with Balich, Modus</t>
  </si>
  <si>
    <t>Rainbow</t>
  </si>
  <si>
    <t>Dune</t>
  </si>
  <si>
    <t xml:space="preserve">In collaboration with X Architects </t>
  </si>
  <si>
    <t>Machine Dreams: Space</t>
  </si>
  <si>
    <t>AI data installation</t>
  </si>
  <si>
    <t>Proposed for acquisition, Exhibition 2022</t>
  </si>
  <si>
    <t>On a Never-Ending Horizon a Future Nostalgia to Keep the Present Alive</t>
  </si>
  <si>
    <t>Site 12 - Sana'a Square</t>
  </si>
  <si>
    <t>in collaboration with Armetal</t>
  </si>
  <si>
    <t>In collaboration with Manifesto, PICO</t>
  </si>
  <si>
    <t>Solenoglyphous C.C </t>
  </si>
  <si>
    <t>Sharing Happiness</t>
  </si>
  <si>
    <t>Heritage of Beauty</t>
  </si>
  <si>
    <t>In collaboration with MDM - Line 5&amp;6, qualified with Mark Hachem</t>
  </si>
  <si>
    <t>Qualified with ATHR, Proposed as back-up Artist by MDM</t>
  </si>
  <si>
    <t>‘Til we meet again</t>
  </si>
  <si>
    <t>Station 1C1 - Al Urubah</t>
  </si>
  <si>
    <t>in collaboration with PICO - Line 1</t>
  </si>
  <si>
    <t>Flow</t>
  </si>
  <si>
    <t>In collaboration with Tonkin Zulaikha Greer</t>
  </si>
  <si>
    <t>Past/Present + Future/Now: Dreamscapes</t>
  </si>
  <si>
    <t>Station 5B3 - Abu Dhabi Square</t>
  </si>
  <si>
    <t>In collaboration with MDM - Line 5&amp;6</t>
  </si>
  <si>
    <t>Roba Vecchia Kaleidoscope</t>
  </si>
  <si>
    <t xml:space="preserve">In collaboration with Manifesto </t>
  </si>
  <si>
    <t>Dialogue</t>
  </si>
  <si>
    <t>light show</t>
  </si>
  <si>
    <t>Al Faisaliah Tower</t>
  </si>
  <si>
    <t>No. 1298</t>
  </si>
  <si>
    <t>Station 4B1 - Al Rabi</t>
  </si>
  <si>
    <t>In collaboration with MDM - Line 4, qualified with PICO</t>
  </si>
  <si>
    <t>Constant Dynamics</t>
  </si>
  <si>
    <t>The Blue Gate</t>
  </si>
  <si>
    <t>Praise U Wind and Night</t>
  </si>
  <si>
    <t>Astrophysical Light</t>
  </si>
  <si>
    <t>in collaboration ATHR</t>
  </si>
  <si>
    <t>In collaboration with Balich Wonder Studio</t>
  </si>
  <si>
    <t>Synthesis</t>
  </si>
  <si>
    <t>drone show</t>
  </si>
  <si>
    <t>stc Metro Station</t>
  </si>
  <si>
    <t>In collaboration with Buro Happold</t>
  </si>
  <si>
    <t>Sharing Love</t>
  </si>
  <si>
    <t>In collaboration with UAP</t>
  </si>
  <si>
    <t>in collaboration with Modus</t>
  </si>
  <si>
    <t>Beltane Oracle</t>
  </si>
  <si>
    <t>2022 – 2023</t>
  </si>
  <si>
    <t>Run Beyond</t>
  </si>
  <si>
    <t>King Abdulaziz Road in front of Hayat Mall</t>
  </si>
  <si>
    <t>Direct Acquisition Artificio Italiano - Kitonb</t>
  </si>
  <si>
    <t>Astrum</t>
  </si>
  <si>
    <t>laser show</t>
  </si>
  <si>
    <t>Balance</t>
  </si>
  <si>
    <t>Obliteration (Make it Pop)</t>
  </si>
  <si>
    <t>Balance of Opposites</t>
  </si>
  <si>
    <t>Le Ciel coloré et projeté, Travail in Situ</t>
  </si>
  <si>
    <t>Prince Abdulaziz bin Muhammad bin Ayyaf Park</t>
  </si>
  <si>
    <t>Proposed for acquisition</t>
  </si>
  <si>
    <t>In collaboration with Gilles Miller Studio and Nasser AlShemimri</t>
  </si>
  <si>
    <t>In collaboration with FGC</t>
  </si>
  <si>
    <t>in collaboration with Constantine KSA</t>
  </si>
  <si>
    <t>Fourth World</t>
  </si>
  <si>
    <t>Najm</t>
  </si>
  <si>
    <t>Grind</t>
  </si>
  <si>
    <t>Clouds</t>
  </si>
  <si>
    <t>Eroding Waves</t>
  </si>
  <si>
    <t>2016-2022</t>
  </si>
  <si>
    <t xml:space="preserve">Illuminated Bridges </t>
  </si>
  <si>
    <t>Cadence</t>
  </si>
  <si>
    <t>Al Madinah Al Munawarah Road Bridge</t>
  </si>
  <si>
    <t>Hidden River Illuminated Bridges - 9 Bridges - Group 3</t>
  </si>
  <si>
    <t>Flying Carpet</t>
  </si>
  <si>
    <t>Qasr al Hokm area</t>
  </si>
  <si>
    <t>Memory Palace </t>
  </si>
  <si>
    <t>Granite Blooming in the Brightness of Now</t>
  </si>
  <si>
    <t>Blaublobbing</t>
  </si>
  <si>
    <t>Verdejar</t>
  </si>
  <si>
    <t>Station 2A2 - King Salman Science Oasis</t>
  </si>
  <si>
    <t>In collaboration with Manifesto- Line 2</t>
  </si>
  <si>
    <t>Radiant Garden</t>
  </si>
  <si>
    <t>Station 3E5 - As Salhiyah</t>
  </si>
  <si>
    <t>In collaboration with MassivArt - Line 3</t>
  </si>
  <si>
    <t>The Vision Grid</t>
  </si>
  <si>
    <t>video mapping</t>
  </si>
  <si>
    <t>In collaboration with Arki Group</t>
  </si>
  <si>
    <t>Dust 002</t>
  </si>
  <si>
    <t>Cities of Stars </t>
  </si>
  <si>
    <t>Odyssey</t>
  </si>
  <si>
    <t>Station 6E1 - Al Yarmouk</t>
  </si>
  <si>
    <t>Energy of Water</t>
  </si>
  <si>
    <t xml:space="preserve">In collaboration with with Modus </t>
  </si>
  <si>
    <t>In collaboration with Premier Q</t>
  </si>
  <si>
    <t>scultpure</t>
  </si>
  <si>
    <t>Untitled (Electric Light)</t>
  </si>
  <si>
    <t>In collaboration with Constantine</t>
  </si>
  <si>
    <t>Le Silence des Particules</t>
  </si>
  <si>
    <t>In collaboration with Mark Hachem and PICO</t>
  </si>
  <si>
    <t>Luminous Whispers</t>
  </si>
  <si>
    <t>Legacy</t>
  </si>
  <si>
    <t>Station 2E1 - Al Hamra</t>
  </si>
  <si>
    <t>In collaboration with Manifesto - Line 2</t>
  </si>
  <si>
    <t>New Dimensions: Riyadh Edition</t>
  </si>
  <si>
    <t>Unseen</t>
  </si>
  <si>
    <t>Khrononfinite</t>
  </si>
  <si>
    <t>In collaboration with Mossessian Architecture</t>
  </si>
  <si>
    <t>in collaboration with PICO</t>
  </si>
  <si>
    <t>In collaboration with Holzhof</t>
  </si>
  <si>
    <t>Dynamism in becoming</t>
  </si>
  <si>
    <t>In collaboration with MassivArt</t>
  </si>
  <si>
    <t>AKR III</t>
  </si>
  <si>
    <t>Meeting at the edge of the heat</t>
  </si>
  <si>
    <t xml:space="preserve">in collaboration with Modus </t>
  </si>
  <si>
    <t>Seven Electric Signs</t>
  </si>
  <si>
    <t>Zenith VI, Zenith V, Zenith III</t>
  </si>
  <si>
    <t>Station 1B4 - Al Wurud 2</t>
  </si>
  <si>
    <t>Awarded with PICO - Line 1, qualified with Constantine KSA</t>
  </si>
  <si>
    <t>Earthtime 1.26 Riyadh</t>
  </si>
  <si>
    <t>Site 16 - Musa Ibn Nusair Street / Olaya Street</t>
  </si>
  <si>
    <t>Blooms</t>
  </si>
  <si>
    <t>2014-2022</t>
  </si>
  <si>
    <t>digital</t>
  </si>
  <si>
    <t>Sounds of the Universe</t>
  </si>
  <si>
    <t>In collaboration with MDM</t>
  </si>
  <si>
    <t>Elevation</t>
  </si>
  <si>
    <t>Awarded with MassivArt - Line 3, qualified with Modus</t>
  </si>
  <si>
    <t>Counting Beads</t>
  </si>
  <si>
    <t>I am beginning to see the light</t>
  </si>
  <si>
    <t>Organic Geometry</t>
  </si>
  <si>
    <t>Sports Boulevard</t>
  </si>
  <si>
    <t>Light Upon Light</t>
  </si>
  <si>
    <t>Najd Icons</t>
  </si>
  <si>
    <t>Sculpture Dynamics</t>
  </si>
  <si>
    <t>In the Sunlight</t>
  </si>
  <si>
    <t>22-20</t>
  </si>
  <si>
    <t xml:space="preserve">light installation </t>
  </si>
  <si>
    <t>Prisma</t>
  </si>
  <si>
    <t>In collaboration in Modus</t>
  </si>
  <si>
    <t>Butterfly </t>
  </si>
  <si>
    <t>In collaboration with Gerber Architekten</t>
  </si>
  <si>
    <t>Leo (George and Irmelin)</t>
  </si>
  <si>
    <t>In collaboration with Infya</t>
  </si>
  <si>
    <t>PULSE 3.0</t>
  </si>
  <si>
    <t>Center</t>
  </si>
  <si>
    <t>Water Tower</t>
  </si>
  <si>
    <t>Intangible #form</t>
  </si>
  <si>
    <t>Proposed for acquisition, Festival 2022</t>
  </si>
  <si>
    <t>My Mother's Rug (Unique Edition)</t>
  </si>
  <si>
    <t>Al Sour Park C</t>
  </si>
  <si>
    <t>Converting Light Into Idea</t>
  </si>
  <si>
    <t>Signal Mirage</t>
  </si>
  <si>
    <t>STATION 1F9</t>
  </si>
  <si>
    <t>In collaboration with Steven Holl Architects</t>
  </si>
  <si>
    <t>Metamorphosis of Space</t>
  </si>
  <si>
    <t>Rain Stones</t>
  </si>
  <si>
    <t>Solar Wind</t>
  </si>
  <si>
    <t>Digital installation</t>
  </si>
  <si>
    <t>Site 11 - Ring Road / Southern Ring Road</t>
  </si>
  <si>
    <t>Noor Mandala</t>
  </si>
  <si>
    <t>Alchemy of Atmospheres </t>
  </si>
  <si>
    <t>El Sokareya</t>
  </si>
  <si>
    <t>Station 1B3 - STC/Olaya</t>
  </si>
  <si>
    <t>Jewels in Riyadh</t>
  </si>
  <si>
    <t>Family Tree</t>
  </si>
  <si>
    <t>Direct Acquisition Hauser &amp; Wirth</t>
  </si>
  <si>
    <t>Forgotten Corners</t>
  </si>
  <si>
    <t>Marhaba 1446</t>
  </si>
  <si>
    <t>Station 4G2 - KKIA Terminal 3&amp;4</t>
  </si>
  <si>
    <t>In collaboration with MDM - Line 4</t>
  </si>
  <si>
    <t>Beacon</t>
  </si>
  <si>
    <t>Al Haras Park</t>
  </si>
  <si>
    <t>#INFINITESINCE83</t>
  </si>
  <si>
    <t>2019-2022</t>
  </si>
  <si>
    <t>In collaboration with ATHR, Mark Hachem</t>
  </si>
  <si>
    <t>Flag Frame</t>
  </si>
  <si>
    <t>Station 5C1 - As Sulimaniyah</t>
  </si>
  <si>
    <t>in collaboration with  MDM - Line 5&amp;6</t>
  </si>
  <si>
    <t xml:space="preserve">in collaboration with Satisfy </t>
  </si>
  <si>
    <t xml:space="preserve">Early Ripening </t>
  </si>
  <si>
    <t>Lightweeds (Noor)</t>
  </si>
  <si>
    <t>Red Modified Street Lights</t>
  </si>
  <si>
    <t>Flux</t>
  </si>
  <si>
    <t>immersive installation</t>
  </si>
  <si>
    <t>Behind the curtain shines the light</t>
  </si>
  <si>
    <t>Synergy</t>
  </si>
  <si>
    <t>Sunrise/Sunset</t>
  </si>
  <si>
    <t>Light Wall (Outdoor Version)</t>
  </si>
  <si>
    <t>Fallen Angel</t>
  </si>
  <si>
    <t>in collaboration with MDM</t>
  </si>
  <si>
    <t>Numina</t>
  </si>
  <si>
    <t>The Whisper of the Wave</t>
  </si>
  <si>
    <t>Pulse</t>
  </si>
  <si>
    <t>Site 4 - Northern Ring Road / King Fahd Road</t>
  </si>
  <si>
    <t>Atoms Poem</t>
  </si>
  <si>
    <t>Cosmic Birds</t>
  </si>
  <si>
    <t>kinetik installation</t>
  </si>
  <si>
    <t>The Whites of Their Eyes</t>
  </si>
  <si>
    <t xml:space="preserve">TS 2020 </t>
  </si>
  <si>
    <t>My Mother</t>
  </si>
  <si>
    <t>When the Moon is Full</t>
  </si>
  <si>
    <t>Station 3E2 - Qasr Al Hokm (Downtown)</t>
  </si>
  <si>
    <t>Direct Acquisition</t>
  </si>
  <si>
    <t>Self </t>
  </si>
  <si>
    <t>CryoLumen</t>
  </si>
  <si>
    <t xml:space="preserve">Inside Out Project’s Inside Out Riyadh – Light Years Apart </t>
  </si>
  <si>
    <t>2011-2024</t>
  </si>
  <si>
    <t>Infinite Loop</t>
  </si>
  <si>
    <t>Site 15 - Al Mukarramah Road / King Fahd Road</t>
  </si>
  <si>
    <t>The waves of the soul</t>
  </si>
  <si>
    <t>A System of Re-arrangeable Shapes</t>
  </si>
  <si>
    <t>Sky Mirror</t>
  </si>
  <si>
    <t xml:space="preserve">Direct Acquisition Phillips </t>
  </si>
  <si>
    <t>In collaboration with Alison Brooks</t>
  </si>
  <si>
    <t>Closer than They Appear</t>
  </si>
  <si>
    <t>Nests in Riyadh </t>
  </si>
  <si>
    <t>Pulse of Light</t>
  </si>
  <si>
    <t>Al Faisaliah Tower, Kingdom Centre, Majdoul Tower</t>
  </si>
  <si>
    <t>Quartet, 2021</t>
  </si>
  <si>
    <t>Site 7 - Al Mukarramah Road / Eastern Ring Road</t>
  </si>
  <si>
    <t>Proposed as back-up Artist by MDM</t>
  </si>
  <si>
    <t>Nehebkau</t>
  </si>
  <si>
    <t>5C2 King Salman Park Metro Station</t>
  </si>
  <si>
    <t>Direct Acquisition Gagosian</t>
  </si>
  <si>
    <t>Cirrus; Dunes</t>
  </si>
  <si>
    <t>Station 3K1 - Khashm Al An</t>
  </si>
  <si>
    <t>in collaboration with MassivArt - Line 3</t>
  </si>
  <si>
    <t>Delivery Dancer’s Sphere</t>
  </si>
  <si>
    <t>digital artwork</t>
  </si>
  <si>
    <t>Cosmic Messenger</t>
  </si>
  <si>
    <t>Picnic Cones</t>
  </si>
  <si>
    <t>In collaboration with Coop Himmelblau</t>
  </si>
  <si>
    <t>Perseverance in Time</t>
  </si>
  <si>
    <t>FLUX</t>
  </si>
  <si>
    <t>Diamond (Red)</t>
  </si>
  <si>
    <t>1994–2005</t>
  </si>
  <si>
    <t>Cultural Centre - DQ</t>
  </si>
  <si>
    <t>Direct Acquisition David Zwirner</t>
  </si>
  <si>
    <t>Riyadh Icon</t>
  </si>
  <si>
    <t>In collaboration with Zaha Hadid Architects</t>
  </si>
  <si>
    <t>Catharsis</t>
  </si>
  <si>
    <t>2019-2020</t>
  </si>
  <si>
    <t>constrained surface</t>
  </si>
  <si>
    <t xml:space="preserve">Direct Acquisition Cayre Group </t>
  </si>
  <si>
    <t>Nothing Can Separate Us</t>
  </si>
  <si>
    <t>Station 6G1 - Al Andalus</t>
  </si>
  <si>
    <t>FADING #10</t>
  </si>
  <si>
    <t>2013-2023</t>
  </si>
  <si>
    <t>Animal Arches Playground</t>
  </si>
  <si>
    <t>MEKNES, POLKA CITY, IFAFA 2, ITATA 2, PORT TAMPA</t>
  </si>
  <si>
    <t>DQ</t>
  </si>
  <si>
    <t>Continuel lumière cylinder</t>
  </si>
  <si>
    <t>La Mer</t>
  </si>
  <si>
    <t>Station 2C1 - King Abdulaziz Road</t>
  </si>
  <si>
    <t>Stain-Rainbow Forest 2.3</t>
  </si>
  <si>
    <t>2023-2024</t>
  </si>
  <si>
    <t>Bold Silver Light </t>
  </si>
  <si>
    <t>Addressing Clouds</t>
  </si>
  <si>
    <t>Station 2D2 - Khalid Bin Al Waleed Road</t>
  </si>
  <si>
    <t>Higher Power</t>
  </si>
  <si>
    <t>Happiness in the Palm</t>
  </si>
  <si>
    <t>Red Sea</t>
  </si>
  <si>
    <t>in collaboration with Buro Happold</t>
  </si>
  <si>
    <t>Reverberating Echoes: Pixels To Ceramics, Trains To Traditions</t>
  </si>
  <si>
    <t>Station 4G1 - KKIA Terminal 5</t>
  </si>
  <si>
    <t>architecture</t>
  </si>
  <si>
    <t>King Salman Road/Airport Gateway</t>
  </si>
  <si>
    <t>In collaboration with Schiattarella</t>
  </si>
  <si>
    <t>Flowers in Desert</t>
  </si>
  <si>
    <t>Falling Lightning Bolt</t>
  </si>
  <si>
    <t>Light Horizon</t>
  </si>
  <si>
    <t>Zone Iguazo</t>
  </si>
  <si>
    <t>Topographic Memory 1; Topographic Memory 2</t>
  </si>
  <si>
    <t>Station 3H1 - Harun Ar Rashid Road</t>
  </si>
  <si>
    <t>Mountains of the Mind</t>
  </si>
  <si>
    <t>in collaboration wit Buro Happold</t>
  </si>
  <si>
    <t>Hidden Order</t>
  </si>
  <si>
    <t>Color Chart</t>
  </si>
  <si>
    <t>Station 2C3 - Riyadh Exhibition Center</t>
  </si>
  <si>
    <t xml:space="preserve">Understanding </t>
  </si>
  <si>
    <t xml:space="preserve">Space (Fragment of something bigger) </t>
  </si>
  <si>
    <t>Energy for the Sake of Retaining Power (Solar Symphony 16)</t>
  </si>
  <si>
    <t xml:space="preserve">In collaboration with Mark Hachem </t>
  </si>
  <si>
    <t>Sequence of the Dream</t>
  </si>
  <si>
    <t>Station 5B2 - Officers Club</t>
  </si>
  <si>
    <t>Beings of Light</t>
  </si>
  <si>
    <t>View Tracing #5 “LABYRINTH”</t>
  </si>
  <si>
    <t>At the Beginning</t>
  </si>
  <si>
    <t>Easily</t>
  </si>
  <si>
    <t>ROSHN Front</t>
  </si>
  <si>
    <t>Flower Parent and Child</t>
  </si>
  <si>
    <t>Transmissions</t>
  </si>
  <si>
    <t>Harmony of Trust </t>
  </si>
  <si>
    <t>in collaboration with ATHR</t>
  </si>
  <si>
    <t>In collaboration with PICO, Constantine, back-up artist by MDM</t>
  </si>
  <si>
    <t>Podium</t>
  </si>
  <si>
    <t>Catharsis – Not just Eternity, but Infinity</t>
  </si>
  <si>
    <t>Masmak Garden</t>
  </si>
  <si>
    <t>Masmak Fort</t>
  </si>
  <si>
    <t>The Source</t>
  </si>
  <si>
    <t>Growth</t>
  </si>
  <si>
    <t>In collaboration with UN Studio</t>
  </si>
  <si>
    <t>Dust to Dust</t>
  </si>
  <si>
    <t>Experience</t>
  </si>
  <si>
    <t> 2022-2023</t>
  </si>
  <si>
    <t>Yardang</t>
  </si>
  <si>
    <t>in collaboration with MDM, did not pass the Vetting process</t>
  </si>
  <si>
    <t>Motion of Revolution</t>
  </si>
  <si>
    <t>Pocket House</t>
  </si>
  <si>
    <t xml:space="preserve">Marquee </t>
  </si>
  <si>
    <t>The Fall</t>
  </si>
  <si>
    <t>Expansion</t>
  </si>
  <si>
    <t>Evolution</t>
  </si>
  <si>
    <t>In the Balance</t>
  </si>
  <si>
    <t>Direct Acquisition Phillips</t>
  </si>
  <si>
    <t>Movement</t>
  </si>
  <si>
    <t>Wind Blast</t>
  </si>
  <si>
    <t>Chimeric Parade</t>
  </si>
  <si>
    <t>Station 2B1 - At Takhassusi</t>
  </si>
  <si>
    <t>The Sun and the Moon</t>
  </si>
  <si>
    <t>Artificial Spaces</t>
  </si>
  <si>
    <t>in collaboration with someform Studio</t>
  </si>
  <si>
    <t>Mother of Time</t>
  </si>
  <si>
    <t>Love Difference</t>
  </si>
  <si>
    <t>Ocean Ripple</t>
  </si>
  <si>
    <t>in collaboration with Mark Hachem, Modus, PICO, Satisfy</t>
  </si>
  <si>
    <t>Picto Sender Machine</t>
  </si>
  <si>
    <t>303 - 304 Alley</t>
  </si>
  <si>
    <t>In collaboration with Antonio Citterio + Patricia Viel</t>
  </si>
  <si>
    <t>The House East of Eden</t>
  </si>
  <si>
    <t>KAFD - Conference Centre</t>
  </si>
  <si>
    <t>In collaboration with Gerber Architekten, ATHR</t>
  </si>
  <si>
    <t>Oasis</t>
  </si>
  <si>
    <t>Riyadh Exhibition &amp; Convention Centre</t>
  </si>
  <si>
    <t>TS 2026</t>
  </si>
  <si>
    <t xml:space="preserve">Flow </t>
  </si>
  <si>
    <t>Khasla-Zoujaja</t>
  </si>
  <si>
    <t>Unexpected</t>
  </si>
  <si>
    <t>Gradient</t>
  </si>
  <si>
    <t>Site 19 - King Salman Road / King Fahd Road</t>
  </si>
  <si>
    <t>Direct Acquisition PACE Gallery</t>
  </si>
  <si>
    <t>Periodicity</t>
  </si>
  <si>
    <t>In collaboration with OBR</t>
  </si>
  <si>
    <t>Vibrance</t>
  </si>
  <si>
    <t>King Abdullah Park</t>
  </si>
  <si>
    <t>Circadian Nocturne</t>
  </si>
  <si>
    <t>Places of Geometry and Light</t>
  </si>
  <si>
    <t>Quartzscapes</t>
  </si>
  <si>
    <t>In collaboration with Rowad Al Riyadh</t>
  </si>
  <si>
    <t>Like Moths to a Flame</t>
  </si>
  <si>
    <t>the sun</t>
  </si>
  <si>
    <t>KAHC - Museum Entrance</t>
  </si>
  <si>
    <t xml:space="preserve">Direct Acquisition Sadie Coles </t>
  </si>
  <si>
    <t>Where to go from here?</t>
  </si>
  <si>
    <t>AR installation</t>
  </si>
  <si>
    <t>PHOTOSYNTHESIS</t>
  </si>
  <si>
    <t>VIA Riyadh</t>
  </si>
  <si>
    <t>Diagram; Non either; Through; Shape squeeze; Double room</t>
  </si>
  <si>
    <t>In collaboration with Constantine KSA</t>
  </si>
  <si>
    <t>Selintas Selalu</t>
  </si>
  <si>
    <t>kinetic installation</t>
  </si>
  <si>
    <t>Door of Water</t>
  </si>
  <si>
    <t>Shabbah</t>
  </si>
  <si>
    <t>Eyes</t>
  </si>
  <si>
    <t>The Garden of Light</t>
  </si>
  <si>
    <t>Eternal Continuum</t>
  </si>
  <si>
    <t>Synergy Equilibrium</t>
  </si>
  <si>
    <t>IN LINEA RES</t>
  </si>
  <si>
    <t>Aladel Square</t>
  </si>
  <si>
    <t>Fossil Gesture</t>
  </si>
  <si>
    <t>Station 2G1 - King Fahd Stadium</t>
  </si>
  <si>
    <t>In collaboration with Albert Speer &amp; Partners</t>
  </si>
  <si>
    <t>Clockwise Invitations</t>
  </si>
  <si>
    <t>PETRICHOR</t>
  </si>
  <si>
    <t>2023-2025</t>
  </si>
  <si>
    <t>Existence</t>
  </si>
  <si>
    <t xml:space="preserve">Not Awarded </t>
  </si>
  <si>
    <t>In collaboration with Mackay+Partners</t>
  </si>
  <si>
    <t>I See You Brightest In The Dark</t>
  </si>
  <si>
    <t>Bayt AlMalaz</t>
  </si>
  <si>
    <t>Xanadu II</t>
  </si>
  <si>
    <t>Connection</t>
  </si>
  <si>
    <t>Harmony in Diversity</t>
  </si>
  <si>
    <t>Unrelenting</t>
  </si>
  <si>
    <t>Flat Portal 4:1</t>
  </si>
  <si>
    <t>Spiral City</t>
  </si>
  <si>
    <t>The Birth of Beauty </t>
  </si>
  <si>
    <t>Street Light</t>
  </si>
  <si>
    <t>Site 17 - Olaya Street /Prince Muhammad Ibn Abdulaziz</t>
  </si>
  <si>
    <t>in collaboration with ACRUSH</t>
  </si>
  <si>
    <t>Casas-Isla</t>
  </si>
  <si>
    <t>Stratachrome Black and White</t>
  </si>
  <si>
    <t>Earth</t>
  </si>
  <si>
    <t>King Fahad National Library Plaza</t>
  </si>
  <si>
    <t>Out of Breath: A-Life Support Machine</t>
  </si>
  <si>
    <t>audiovisual installation</t>
  </si>
  <si>
    <t>Turbulent Past</t>
  </si>
  <si>
    <t>Botanic</t>
  </si>
  <si>
    <t>The Boulevard</t>
  </si>
  <si>
    <t>Unfolding Transition</t>
  </si>
  <si>
    <t>SEDRA</t>
  </si>
  <si>
    <t>Northern Lights</t>
  </si>
  <si>
    <t>Wadi Namar Park</t>
  </si>
  <si>
    <t>I Will Take the Sun Into My Eyes</t>
  </si>
  <si>
    <t>Suspended Desert Rose Chandelier and The Inclined Relief Kaleidoscopic Wall</t>
  </si>
  <si>
    <t>Station 3E1 - Courts Complex</t>
  </si>
  <si>
    <t>MLZ Sky</t>
  </si>
  <si>
    <t>Station 3F2 - Al Malaz</t>
  </si>
  <si>
    <t>ST\LL for the 3D WATER MATRIX</t>
  </si>
  <si>
    <t>Movement in Space</t>
  </si>
  <si>
    <t>The Great Indecision Council</t>
  </si>
  <si>
    <t>Gravitation </t>
  </si>
  <si>
    <t>Artwork  in collaboration with the artist Takeshi Yasura</t>
  </si>
  <si>
    <t>A Cast of Falcons</t>
  </si>
  <si>
    <t>Light Rings</t>
  </si>
  <si>
    <t>Afrum (Pale Pink)</t>
  </si>
  <si>
    <t>In collaboration with Mark Hachem, Modus</t>
  </si>
  <si>
    <t>Intersections in Light and Sound</t>
  </si>
  <si>
    <t>light and sound  installation</t>
  </si>
  <si>
    <t>Awareness Stone</t>
  </si>
  <si>
    <t>243.5° Arch x 2</t>
  </si>
  <si>
    <t>Site 14 - Makkah Al Mukarramah / Western Ring Road</t>
  </si>
  <si>
    <t>Connections</t>
  </si>
  <si>
    <t>Star in Motion</t>
  </si>
  <si>
    <t>Digital City</t>
  </si>
  <si>
    <t>Direct Acquisition ACTLD</t>
  </si>
  <si>
    <t>AURA</t>
  </si>
  <si>
    <t>Corona</t>
  </si>
  <si>
    <t>Evanishing Points</t>
  </si>
  <si>
    <t>Geh aus mein herz!</t>
  </si>
  <si>
    <t>In collaboration with MDM, Constantine KSA, Satisfy</t>
  </si>
  <si>
    <t>One Minute</t>
  </si>
  <si>
    <t>When it Rains</t>
  </si>
  <si>
    <t>Gravitation</t>
  </si>
  <si>
    <t>Artwork  in collaboration with the artist Jukan Tateisi</t>
  </si>
  <si>
    <t>Artificial Moon</t>
  </si>
  <si>
    <t>Wadi Hanifa Dam Park</t>
  </si>
  <si>
    <t>Skeleton of the Glorious</t>
  </si>
  <si>
    <t>The Gift Box</t>
  </si>
  <si>
    <t>In collaboration with Constantine KSA, PICO</t>
  </si>
  <si>
    <t xml:space="preserve">In collaboration with Arki Group </t>
  </si>
  <si>
    <t>LUX</t>
  </si>
  <si>
    <t>Station 2F1 - City Center/Ishbiliyah</t>
  </si>
  <si>
    <t>The Light to Home</t>
  </si>
  <si>
    <t>Pearl Rising</t>
  </si>
  <si>
    <t>Station 1G1 - Manfouhah</t>
  </si>
  <si>
    <t xml:space="preserve">in collaboration with PICO - Line 1 </t>
  </si>
  <si>
    <t>Ghosts of Today and Tomorrow</t>
  </si>
  <si>
    <t>All Swimming In Their Orbit</t>
  </si>
  <si>
    <t>Station 4D1 - Princess Noura University 1</t>
  </si>
  <si>
    <t>Awarded with MDM - Line 4 qualified with Buro Happold, Constantine KSA, Gerber,  Setec</t>
  </si>
  <si>
    <t>It's Really Hard To See From Here</t>
  </si>
  <si>
    <t>in collaboration with Heatherwick Studio</t>
  </si>
  <si>
    <t>Through the Sky</t>
  </si>
  <si>
    <t>Station 2B4 - Al Wurud</t>
  </si>
  <si>
    <t>Awarded with Manifesto - Line 2 qualified with Buro Happold, Constantine KSA, Gerber,  Setec</t>
  </si>
  <si>
    <t>Allah</t>
  </si>
  <si>
    <t>Illuminated Bridges - 9 Bridges</t>
  </si>
  <si>
    <t>Ardah Rhythm</t>
  </si>
  <si>
    <t>Western Ring Road Bridge (Wadi Hanifa - Diriyah Bridge)</t>
  </si>
  <si>
    <t>In collaboration with LichtVision and SaudConsult - Group 1</t>
  </si>
  <si>
    <t>Glory of Foundation</t>
  </si>
  <si>
    <t>Western Ring Road Bridge (Wadi Al Mahdiyah)</t>
  </si>
  <si>
    <t>Najd AlKhuzama</t>
  </si>
  <si>
    <t>Western Ring Road Bridge (Wadi O’ Bair)</t>
  </si>
  <si>
    <t>Emergence</t>
  </si>
  <si>
    <t>United States of America</t>
  </si>
  <si>
    <t>United Arab Emirates</t>
  </si>
  <si>
    <t>Czechia</t>
  </si>
  <si>
    <t>Korea, Republic of</t>
  </si>
  <si>
    <t>Iran, Islamic Republic of</t>
  </si>
  <si>
    <t>Russian Federation</t>
  </si>
  <si>
    <t>Syrian Arab Republic</t>
  </si>
  <si>
    <t>RÃ©union</t>
  </si>
  <si>
    <t>Sub-Program</t>
  </si>
  <si>
    <t>Noor Riyadh</t>
  </si>
  <si>
    <t>United Kingdom</t>
  </si>
  <si>
    <t>Turkey</t>
  </si>
  <si>
    <t>Taiwan</t>
  </si>
  <si>
    <t>Netherlands</t>
  </si>
  <si>
    <t>Venezuela</t>
  </si>
  <si>
    <t>Status Program 1
(Awarded/Qualified/Not Qualified/Not Awarded)</t>
  </si>
  <si>
    <t>Expected Artworks</t>
  </si>
  <si>
    <t>Delivered Artworks</t>
  </si>
  <si>
    <t>Remaining Artworks</t>
  </si>
  <si>
    <t>West Entrance Gateway</t>
  </si>
  <si>
    <t>Urban Flow</t>
  </si>
  <si>
    <t>HIB9 - Illuminated Bridges</t>
  </si>
  <si>
    <t>Hidden River - Art Trail</t>
  </si>
  <si>
    <t>Tuwaiq International Sculpture Symposium</t>
  </si>
  <si>
    <t>Alpha-2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</si>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</sst>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63D7A-59B4-42D1-8BCD-3E16699A3CC2}" name="Table1" displayName="Table1" ref="A1:T694" totalsRowShown="0">
  <autoFilter ref="A1:T694" xr:uid="{FFA63D7A-59B4-42D1-8BCD-3E16699A3CC2}"/>
  <tableColumns count="20">
    <tableColumn id="1" xr3:uid="{9171EA7E-0270-4F8B-872B-47EECC08A9D2}" name="S.N"/>
    <tableColumn id="2" xr3:uid="{15A7D885-E634-486F-8716-164F5A3ED659}" name="Surname/Studio Name/Artistic Name"/>
    <tableColumn id="3" xr3:uid="{0D981E7C-798E-4E1F-BAF2-3457049AC5E3}" name="Name"/>
    <tableColumn id="4" xr3:uid="{2DAA3BCF-DA42-4F12-9F51-A7B761AF4941}" name="Nationality"/>
    <tableColumn id="5" xr3:uid="{03B5276A-47C1-436F-A02A-BFD26424F52C}" name="E-Mail Address"/>
    <tableColumn id="6" xr3:uid="{7307CA8E-918A-4CB9-B775-96EA08D9A671}" name="Category_x000a_(Artist/Designer/Architect)"/>
    <tableColumn id="7" xr3:uid="{D31135E0-32E5-479A-87F0-13096E16B458}" name="Website"/>
    <tableColumn id="8" xr3:uid="{BB0A3278-4706-4ECF-A1D3-7B963D5E5F95}" name="Gender"/>
    <tableColumn id="9" xr3:uid="{BB906AA3-533B-4C70-B7C4-B521D6DA0910}" name="Vetting Process"/>
    <tableColumn id="10" xr3:uid="{DF293C63-664D-4114-BD9D-71BFD95753EF}" name="Birthyear"/>
    <tableColumn id="11" xr3:uid="{DE2BCBDE-7824-4677-B020-20DD10814699}" name="Age">
      <calculatedColumnFormula>2026-Table1[[#This Row],[Birthyear]]</calculatedColumnFormula>
    </tableColumn>
    <tableColumn id="12" xr3:uid="{74392C92-DDF5-4018-8EFF-C5B71A8ABDDC}" name="Program"/>
    <tableColumn id="20" xr3:uid="{E45ED538-E5CC-449B-AC87-26101E801177}" name="Sub-Program"/>
    <tableColumn id="13" xr3:uid="{BC80DC19-EC3F-4F37-9E21-7D3CE62083C3}" name="Status Program 1_x000a_(Awarded/Qualified/Not Qualified/Not Awarded)"/>
    <tableColumn id="14" xr3:uid="{2C1E0409-DE63-49E9-A4C2-CE6ED812E761}" name="Artwork"/>
    <tableColumn id="15" xr3:uid="{EB4638FD-7A46-4605-B076-831E16AE7D00}" name="Year"/>
    <tableColumn id="16" xr3:uid="{2C03B88D-A7FB-4151-A86E-A03E6DF6B94F}" name="Art Typology "/>
    <tableColumn id="17" xr3:uid="{7777E591-AF6A-4C75-B8A3-7C3D7ED9A022}" name="Location"/>
    <tableColumn id="18" xr3:uid="{20F3581D-39F1-4D8C-AF8E-E348A526B2C3}" name="Notes on Program "/>
    <tableColumn id="19" xr3:uid="{F916D422-D057-4F8E-986D-5A418E339F3A}" name="Alpha-2">
      <calculatedColumnFormula>CONCATENATE(Table1[[#This Row],[Name]]," ",Table1[[#This Row],[Surname/Studio Name/Artistic Name]])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9F64A8-1900-4F29-B2AB-98AA72767D71}" name="Artwork_status" displayName="Artwork_status" ref="A1:D14" totalsRowShown="0">
  <autoFilter ref="A1:D14" xr:uid="{5D9F64A8-1900-4F29-B2AB-98AA72767D71}"/>
  <tableColumns count="4">
    <tableColumn id="1" xr3:uid="{D14461E4-DB94-4A36-9FD7-457F6D8AD937}" name="Sub-Program"/>
    <tableColumn id="2" xr3:uid="{8527C395-96D1-4216-B4EF-0CBCE55F6B3C}" name="Expected Artworks"/>
    <tableColumn id="3" xr3:uid="{BFF95072-29A9-446E-9011-1DEE964CED9B}" name="Delivered Artworks"/>
    <tableColumn id="5" xr3:uid="{A370991B-05BD-4A2B-B03A-4C831643FAC6}" name="Remaining Artworks" dataDxfId="3">
      <calculatedColumnFormula>Artwork_status[[#This Row],[Expected Artworks]]-Artwork_status[[#This Row],[Delivered Artworks]]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59E5-BE5D-4F12-A02B-9F1427B89DBD}">
  <dimension ref="A1:T694"/>
  <sheetViews>
    <sheetView tabSelected="1" zoomScale="70" zoomScaleNormal="70" workbookViewId="0">
      <selection activeCell="D11" sqref="D11"/>
    </sheetView>
  </sheetViews>
  <sheetFormatPr defaultRowHeight="14.5" x14ac:dyDescent="0.35"/>
  <cols>
    <col min="1" max="1" width="6.453125" bestFit="1" customWidth="1"/>
    <col min="2" max="2" width="39.1796875" bestFit="1" customWidth="1"/>
    <col min="3" max="3" width="18.453125" bestFit="1" customWidth="1"/>
    <col min="4" max="4" width="16.453125" bestFit="1" customWidth="1"/>
    <col min="5" max="5" width="33.54296875" bestFit="1" customWidth="1"/>
    <col min="6" max="6" width="34.90625" bestFit="1" customWidth="1"/>
    <col min="7" max="7" width="11" bestFit="1" customWidth="1"/>
    <col min="8" max="8" width="10" bestFit="1" customWidth="1"/>
    <col min="9" max="9" width="17" bestFit="1" customWidth="1"/>
    <col min="10" max="10" width="11.453125" bestFit="1" customWidth="1"/>
    <col min="11" max="11" width="6.54296875" bestFit="1" customWidth="1"/>
    <col min="12" max="12" width="20" bestFit="1" customWidth="1"/>
    <col min="13" max="13" width="20" customWidth="1"/>
    <col min="14" max="14" width="44.26953125" bestFit="1" customWidth="1"/>
    <col min="15" max="15" width="71.26953125" bestFit="1" customWidth="1"/>
    <col min="16" max="16" width="10.7265625" bestFit="1" customWidth="1"/>
    <col min="17" max="17" width="26.26953125" bestFit="1" customWidth="1"/>
    <col min="18" max="18" width="50" bestFit="1" customWidth="1"/>
    <col min="19" max="19" width="60.26953125" bestFit="1" customWidth="1"/>
    <col min="20" max="20" width="19.453125" customWidth="1"/>
  </cols>
  <sheetData>
    <row r="1" spans="1:20" ht="29" x14ac:dyDescent="0.3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1899</v>
      </c>
      <c r="N1" s="1" t="s">
        <v>1906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1915</v>
      </c>
    </row>
    <row r="2" spans="1:20" x14ac:dyDescent="0.35">
      <c r="A2">
        <v>1</v>
      </c>
      <c r="B2" t="s">
        <v>17</v>
      </c>
      <c r="C2" t="s">
        <v>18</v>
      </c>
      <c r="D2" t="s">
        <v>19</v>
      </c>
      <c r="E2" t="s">
        <v>1916</v>
      </c>
      <c r="F2" t="s">
        <v>20</v>
      </c>
      <c r="G2" t="s">
        <v>1916</v>
      </c>
      <c r="H2" t="s">
        <v>21</v>
      </c>
      <c r="I2" t="s">
        <v>22</v>
      </c>
      <c r="J2">
        <v>1976</v>
      </c>
      <c r="K2">
        <f>2026-Table1[[#This Row],[Birthyear]]</f>
        <v>50</v>
      </c>
      <c r="L2" t="s">
        <v>1290</v>
      </c>
      <c r="M2" t="s">
        <v>1290</v>
      </c>
      <c r="N2" t="s">
        <v>1291</v>
      </c>
      <c r="S2" t="s">
        <v>1292</v>
      </c>
      <c r="T2" t="str">
        <f>CONCATENATE(Table1[[#This Row],[Name]]," ",Table1[[#This Row],[Surname/Studio Name/Artistic Name]])</f>
        <v>Hamra Abbas</v>
      </c>
    </row>
    <row r="3" spans="1:20" x14ac:dyDescent="0.35">
      <c r="A3">
        <v>2</v>
      </c>
      <c r="B3" t="s">
        <v>23</v>
      </c>
      <c r="C3" t="s">
        <v>24</v>
      </c>
      <c r="D3" t="s">
        <v>1891</v>
      </c>
      <c r="E3" t="s">
        <v>1916</v>
      </c>
      <c r="F3" t="s">
        <v>25</v>
      </c>
      <c r="G3" t="s">
        <v>1916</v>
      </c>
      <c r="H3" t="s">
        <v>26</v>
      </c>
      <c r="J3">
        <v>1977</v>
      </c>
      <c r="K3">
        <f>2026-Table1[[#This Row],[Birthyear]]</f>
        <v>49</v>
      </c>
      <c r="L3" t="s">
        <v>1293</v>
      </c>
      <c r="M3" t="s">
        <v>1293</v>
      </c>
      <c r="N3" t="s">
        <v>1294</v>
      </c>
      <c r="T3" t="str">
        <f>CONCATENATE(Table1[[#This Row],[Name]]," ",Table1[[#This Row],[Surname/Studio Name/Artistic Name]])</f>
        <v>Michel Abboud</v>
      </c>
    </row>
    <row r="4" spans="1:20" x14ac:dyDescent="0.35">
      <c r="A4">
        <v>3</v>
      </c>
      <c r="B4" t="s">
        <v>27</v>
      </c>
      <c r="C4" t="s">
        <v>28</v>
      </c>
      <c r="D4" t="s">
        <v>29</v>
      </c>
      <c r="E4" t="s">
        <v>1916</v>
      </c>
      <c r="F4" t="s">
        <v>20</v>
      </c>
      <c r="G4" t="s">
        <v>1916</v>
      </c>
      <c r="H4" t="s">
        <v>21</v>
      </c>
      <c r="J4">
        <v>1988</v>
      </c>
      <c r="K4">
        <f>2026-Table1[[#This Row],[Birthyear]]</f>
        <v>38</v>
      </c>
      <c r="L4" t="s">
        <v>1900</v>
      </c>
      <c r="M4" t="s">
        <v>1295</v>
      </c>
      <c r="N4" t="s">
        <v>1296</v>
      </c>
      <c r="O4" t="s">
        <v>1297</v>
      </c>
      <c r="P4">
        <v>2025</v>
      </c>
      <c r="Q4" t="s">
        <v>1298</v>
      </c>
      <c r="R4" t="s">
        <v>1299</v>
      </c>
      <c r="T4" t="str">
        <f>CONCATENATE(Table1[[#This Row],[Name]]," ",Table1[[#This Row],[Surname/Studio Name/Artistic Name]])</f>
        <v>Fatma  Abdulhadi</v>
      </c>
    </row>
    <row r="5" spans="1:20" x14ac:dyDescent="0.35">
      <c r="A5">
        <v>4</v>
      </c>
      <c r="B5" t="s">
        <v>30</v>
      </c>
      <c r="C5" t="s">
        <v>31</v>
      </c>
      <c r="D5" t="s">
        <v>29</v>
      </c>
      <c r="E5" t="s">
        <v>1916</v>
      </c>
      <c r="F5" t="s">
        <v>20</v>
      </c>
      <c r="G5" t="s">
        <v>1916</v>
      </c>
      <c r="H5" t="s">
        <v>26</v>
      </c>
      <c r="I5" t="s">
        <v>22</v>
      </c>
      <c r="J5">
        <v>1989</v>
      </c>
      <c r="K5">
        <f>2026-Table1[[#This Row],[Birthyear]]</f>
        <v>37</v>
      </c>
      <c r="L5" t="s">
        <v>1900</v>
      </c>
      <c r="M5" t="s">
        <v>1300</v>
      </c>
      <c r="N5" t="s">
        <v>1296</v>
      </c>
      <c r="O5" t="s">
        <v>1301</v>
      </c>
      <c r="P5">
        <v>2022</v>
      </c>
      <c r="Q5" t="s">
        <v>1302</v>
      </c>
      <c r="R5" t="s">
        <v>1303</v>
      </c>
      <c r="S5" t="s">
        <v>1304</v>
      </c>
      <c r="T5" t="str">
        <f>CONCATENATE(Table1[[#This Row],[Name]]," ",Table1[[#This Row],[Surname/Studio Name/Artistic Name]])</f>
        <v>Omar Abduljawad</v>
      </c>
    </row>
    <row r="6" spans="1:20" x14ac:dyDescent="0.35">
      <c r="A6">
        <v>5</v>
      </c>
      <c r="B6" t="s">
        <v>32</v>
      </c>
      <c r="C6" t="s">
        <v>33</v>
      </c>
      <c r="D6" t="s">
        <v>29</v>
      </c>
      <c r="E6" t="s">
        <v>1916</v>
      </c>
      <c r="F6" t="s">
        <v>20</v>
      </c>
      <c r="G6" t="s">
        <v>1916</v>
      </c>
      <c r="H6" t="s">
        <v>21</v>
      </c>
      <c r="I6" t="s">
        <v>22</v>
      </c>
      <c r="J6">
        <v>1993</v>
      </c>
      <c r="K6">
        <f>2026-Table1[[#This Row],[Birthyear]]</f>
        <v>33</v>
      </c>
      <c r="L6" t="s">
        <v>1290</v>
      </c>
      <c r="M6" t="s">
        <v>1290</v>
      </c>
      <c r="N6" t="s">
        <v>1296</v>
      </c>
      <c r="O6" t="s">
        <v>1305</v>
      </c>
      <c r="Q6" t="s">
        <v>1306</v>
      </c>
      <c r="R6" t="s">
        <v>1307</v>
      </c>
      <c r="S6" t="s">
        <v>1308</v>
      </c>
      <c r="T6" t="str">
        <f>CONCATENATE(Table1[[#This Row],[Name]]," ",Table1[[#This Row],[Surname/Studio Name/Artistic Name]])</f>
        <v>Bayan Abdullateef</v>
      </c>
    </row>
    <row r="7" spans="1:20" x14ac:dyDescent="0.35">
      <c r="A7">
        <v>6</v>
      </c>
      <c r="B7" t="s">
        <v>34</v>
      </c>
      <c r="C7" t="s">
        <v>35</v>
      </c>
      <c r="D7" t="s">
        <v>36</v>
      </c>
      <c r="E7" t="s">
        <v>1916</v>
      </c>
      <c r="F7" t="s">
        <v>25</v>
      </c>
      <c r="G7" t="s">
        <v>1916</v>
      </c>
      <c r="H7" t="s">
        <v>21</v>
      </c>
      <c r="J7">
        <v>1946</v>
      </c>
      <c r="K7">
        <f>2026-Table1[[#This Row],[Birthyear]]</f>
        <v>80</v>
      </c>
      <c r="L7" t="s">
        <v>1293</v>
      </c>
      <c r="M7" t="s">
        <v>1293</v>
      </c>
      <c r="N7" t="s">
        <v>1309</v>
      </c>
      <c r="T7" t="str">
        <f>CONCATENATE(Table1[[#This Row],[Name]]," ",Table1[[#This Row],[Surname/Studio Name/Artistic Name]])</f>
        <v>Marina Abramović</v>
      </c>
    </row>
    <row r="8" spans="1:20" x14ac:dyDescent="0.35">
      <c r="A8">
        <v>7</v>
      </c>
      <c r="B8" t="s">
        <v>37</v>
      </c>
      <c r="C8" t="s">
        <v>38</v>
      </c>
      <c r="D8" t="s">
        <v>29</v>
      </c>
      <c r="E8" t="s">
        <v>1916</v>
      </c>
      <c r="F8" t="s">
        <v>20</v>
      </c>
      <c r="G8" t="s">
        <v>1916</v>
      </c>
      <c r="H8" t="s">
        <v>21</v>
      </c>
      <c r="I8" t="s">
        <v>22</v>
      </c>
      <c r="J8">
        <v>1990</v>
      </c>
      <c r="K8">
        <f>2026-Table1[[#This Row],[Birthyear]]</f>
        <v>36</v>
      </c>
      <c r="L8" t="s">
        <v>1900</v>
      </c>
      <c r="M8" t="s">
        <v>1310</v>
      </c>
      <c r="N8" t="s">
        <v>1296</v>
      </c>
      <c r="O8" t="s">
        <v>1311</v>
      </c>
      <c r="P8">
        <v>2019</v>
      </c>
      <c r="Q8" t="s">
        <v>1298</v>
      </c>
      <c r="R8" t="s">
        <v>1312</v>
      </c>
      <c r="S8" t="s">
        <v>1313</v>
      </c>
      <c r="T8" t="str">
        <f>CONCATENATE(Table1[[#This Row],[Name]]," ",Table1[[#This Row],[Surname/Studio Name/Artistic Name]])</f>
        <v>Sarah Abu Abdallah</v>
      </c>
    </row>
    <row r="9" spans="1:20" x14ac:dyDescent="0.35">
      <c r="A9">
        <v>8</v>
      </c>
      <c r="B9" t="s">
        <v>39</v>
      </c>
      <c r="C9" t="s">
        <v>40</v>
      </c>
      <c r="D9" t="s">
        <v>41</v>
      </c>
      <c r="E9" t="s">
        <v>1916</v>
      </c>
      <c r="F9" t="s">
        <v>20</v>
      </c>
      <c r="G9" t="s">
        <v>1916</v>
      </c>
      <c r="H9" t="s">
        <v>26</v>
      </c>
      <c r="I9" t="s">
        <v>22</v>
      </c>
      <c r="J9">
        <v>1985</v>
      </c>
      <c r="K9">
        <f>2026-Table1[[#This Row],[Birthyear]]</f>
        <v>41</v>
      </c>
      <c r="L9" t="s">
        <v>1290</v>
      </c>
      <c r="M9" t="s">
        <v>1290</v>
      </c>
      <c r="N9" t="s">
        <v>1291</v>
      </c>
      <c r="S9" t="s">
        <v>1314</v>
      </c>
      <c r="T9" t="str">
        <f>CONCATENATE(Table1[[#This Row],[Name]]," ",Table1[[#This Row],[Surname/Studio Name/Artistic Name]])</f>
        <v>Lawrence Abu Hamdan</v>
      </c>
    </row>
    <row r="10" spans="1:20" x14ac:dyDescent="0.35">
      <c r="A10">
        <v>9</v>
      </c>
      <c r="B10" t="s">
        <v>42</v>
      </c>
      <c r="C10" t="s">
        <v>43</v>
      </c>
      <c r="D10" t="s">
        <v>44</v>
      </c>
      <c r="E10" t="s">
        <v>1916</v>
      </c>
      <c r="F10" t="s">
        <v>20</v>
      </c>
      <c r="G10" t="s">
        <v>1916</v>
      </c>
      <c r="H10" t="s">
        <v>21</v>
      </c>
      <c r="I10" t="s">
        <v>22</v>
      </c>
      <c r="J10">
        <v>1989</v>
      </c>
      <c r="K10">
        <f>2026-Table1[[#This Row],[Birthyear]]</f>
        <v>37</v>
      </c>
      <c r="L10" t="s">
        <v>1315</v>
      </c>
      <c r="M10" t="s">
        <v>1315</v>
      </c>
      <c r="N10" t="s">
        <v>1291</v>
      </c>
      <c r="S10" t="s">
        <v>1316</v>
      </c>
      <c r="T10" t="str">
        <f>CONCATENATE(Table1[[#This Row],[Name]]," ",Table1[[#This Row],[Surname/Studio Name/Artistic Name]])</f>
        <v>Noor Abuissa</v>
      </c>
    </row>
    <row r="11" spans="1:20" x14ac:dyDescent="0.35">
      <c r="A11">
        <v>10</v>
      </c>
      <c r="B11" t="s">
        <v>45</v>
      </c>
      <c r="C11" t="s">
        <v>46</v>
      </c>
      <c r="D11" t="s">
        <v>47</v>
      </c>
      <c r="E11" t="s">
        <v>1916</v>
      </c>
      <c r="F11" t="s">
        <v>20</v>
      </c>
      <c r="G11" t="s">
        <v>1916</v>
      </c>
      <c r="H11" t="s">
        <v>26</v>
      </c>
      <c r="J11">
        <v>1998</v>
      </c>
      <c r="K11">
        <f>2026-Table1[[#This Row],[Birthyear]]</f>
        <v>28</v>
      </c>
      <c r="L11" t="s">
        <v>1900</v>
      </c>
      <c r="M11" t="s">
        <v>1317</v>
      </c>
      <c r="N11" t="s">
        <v>1296</v>
      </c>
      <c r="O11" t="s">
        <v>1318</v>
      </c>
      <c r="P11">
        <v>2023</v>
      </c>
      <c r="Q11" t="s">
        <v>1319</v>
      </c>
      <c r="R11" t="s">
        <v>1312</v>
      </c>
      <c r="S11" t="s">
        <v>1320</v>
      </c>
      <c r="T11" t="str">
        <f>CONCATENATE(Table1[[#This Row],[Name]]," ",Table1[[#This Row],[Surname/Studio Name/Artistic Name]])</f>
        <v>Federico Acciardi​</v>
      </c>
    </row>
    <row r="12" spans="1:20" x14ac:dyDescent="0.35">
      <c r="A12">
        <v>11</v>
      </c>
      <c r="B12" t="s">
        <v>48</v>
      </c>
      <c r="C12" t="s">
        <v>49</v>
      </c>
      <c r="D12" t="s">
        <v>211</v>
      </c>
      <c r="E12" t="s">
        <v>1916</v>
      </c>
      <c r="F12" t="s">
        <v>25</v>
      </c>
      <c r="G12" t="s">
        <v>1916</v>
      </c>
      <c r="H12" t="s">
        <v>26</v>
      </c>
      <c r="I12" t="s">
        <v>22</v>
      </c>
      <c r="J12">
        <v>1963</v>
      </c>
      <c r="K12">
        <f>2026-Table1[[#This Row],[Birthyear]]</f>
        <v>63</v>
      </c>
      <c r="L12" t="s">
        <v>1290</v>
      </c>
      <c r="M12" t="s">
        <v>1290</v>
      </c>
      <c r="N12" t="s">
        <v>1291</v>
      </c>
      <c r="S12" t="s">
        <v>1321</v>
      </c>
      <c r="T12" t="str">
        <f>CONCATENATE(Table1[[#This Row],[Name]]," ",Table1[[#This Row],[Surname/Studio Name/Artistic Name]])</f>
        <v>Franz Ackermann</v>
      </c>
    </row>
    <row r="13" spans="1:20" x14ac:dyDescent="0.35">
      <c r="A13">
        <v>12</v>
      </c>
      <c r="B13" t="s">
        <v>51</v>
      </c>
      <c r="C13" t="s">
        <v>52</v>
      </c>
      <c r="D13" t="s">
        <v>1904</v>
      </c>
      <c r="E13" t="s">
        <v>1916</v>
      </c>
      <c r="F13" t="s">
        <v>20</v>
      </c>
      <c r="G13" t="s">
        <v>1916</v>
      </c>
      <c r="H13" t="s">
        <v>26</v>
      </c>
      <c r="J13">
        <v>1988</v>
      </c>
      <c r="K13">
        <f>2026-Table1[[#This Row],[Birthyear]]</f>
        <v>38</v>
      </c>
      <c r="L13" t="s">
        <v>1900</v>
      </c>
      <c r="M13" t="s">
        <v>1322</v>
      </c>
      <c r="N13" t="s">
        <v>1296</v>
      </c>
      <c r="O13" t="s">
        <v>1323</v>
      </c>
      <c r="P13">
        <v>2023</v>
      </c>
      <c r="Q13" t="s">
        <v>1302</v>
      </c>
      <c r="R13" t="s">
        <v>1312</v>
      </c>
      <c r="T13" t="str">
        <f>CONCATENATE(Table1[[#This Row],[Name]]," ",Table1[[#This Row],[Surname/Studio Name/Artistic Name]])</f>
        <v>Boris Acket</v>
      </c>
    </row>
    <row r="14" spans="1:20" x14ac:dyDescent="0.35">
      <c r="A14">
        <v>13</v>
      </c>
      <c r="B14" t="s">
        <v>53</v>
      </c>
      <c r="C14" t="s">
        <v>54</v>
      </c>
      <c r="D14" t="s">
        <v>19</v>
      </c>
      <c r="E14" t="s">
        <v>1916</v>
      </c>
      <c r="F14" t="s">
        <v>25</v>
      </c>
      <c r="G14" t="s">
        <v>1916</v>
      </c>
      <c r="H14" t="s">
        <v>26</v>
      </c>
      <c r="J14">
        <v>1975</v>
      </c>
      <c r="K14">
        <f>2026-Table1[[#This Row],[Birthyear]]</f>
        <v>51</v>
      </c>
      <c r="L14" t="s">
        <v>1293</v>
      </c>
      <c r="M14" t="s">
        <v>1293</v>
      </c>
      <c r="N14" t="s">
        <v>1294</v>
      </c>
      <c r="T14" t="str">
        <f>CONCATENATE(Table1[[#This Row],[Name]]," ",Table1[[#This Row],[Surname/Studio Name/Artistic Name]])</f>
        <v>Saks Afridi</v>
      </c>
    </row>
    <row r="15" spans="1:20" x14ac:dyDescent="0.35">
      <c r="A15">
        <v>14</v>
      </c>
      <c r="B15" t="s">
        <v>55</v>
      </c>
      <c r="C15" t="s">
        <v>56</v>
      </c>
      <c r="D15" t="s">
        <v>1891</v>
      </c>
      <c r="E15" t="s">
        <v>1916</v>
      </c>
      <c r="F15" t="s">
        <v>20</v>
      </c>
      <c r="G15" t="s">
        <v>1916</v>
      </c>
      <c r="H15" t="s">
        <v>26</v>
      </c>
      <c r="I15" t="s">
        <v>22</v>
      </c>
      <c r="J15">
        <v>1968</v>
      </c>
      <c r="K15">
        <f>2026-Table1[[#This Row],[Birthyear]]</f>
        <v>58</v>
      </c>
      <c r="L15" t="s">
        <v>1900</v>
      </c>
      <c r="M15" t="s">
        <v>1300</v>
      </c>
      <c r="N15" t="s">
        <v>1296</v>
      </c>
      <c r="O15" t="s">
        <v>1324</v>
      </c>
      <c r="P15">
        <v>2022</v>
      </c>
      <c r="Q15" t="s">
        <v>1302</v>
      </c>
      <c r="R15" t="s">
        <v>1312</v>
      </c>
      <c r="S15" t="s">
        <v>1325</v>
      </c>
      <c r="T15" t="str">
        <f>CONCATENATE(Table1[[#This Row],[Name]]," ",Table1[[#This Row],[Surname/Studio Name/Artistic Name]])</f>
        <v>Doug Aitken</v>
      </c>
    </row>
    <row r="16" spans="1:20" x14ac:dyDescent="0.35">
      <c r="A16">
        <v>15</v>
      </c>
      <c r="B16" t="s">
        <v>57</v>
      </c>
      <c r="C16" t="s">
        <v>58</v>
      </c>
      <c r="D16" t="s">
        <v>1902</v>
      </c>
      <c r="E16" t="s">
        <v>1916</v>
      </c>
      <c r="F16" t="s">
        <v>20</v>
      </c>
      <c r="G16" t="s">
        <v>1916</v>
      </c>
      <c r="H16" t="s">
        <v>21</v>
      </c>
      <c r="J16">
        <v>1975</v>
      </c>
      <c r="K16">
        <f>2026-Table1[[#This Row],[Birthyear]]</f>
        <v>51</v>
      </c>
      <c r="L16" t="s">
        <v>1914</v>
      </c>
      <c r="M16" t="s">
        <v>1326</v>
      </c>
      <c r="N16" t="s">
        <v>1327</v>
      </c>
      <c r="T16" t="str">
        <f>CONCATENATE(Table1[[#This Row],[Name]]," ",Table1[[#This Row],[Surname/Studio Name/Artistic Name]])</f>
        <v>Ebru Akinci</v>
      </c>
    </row>
    <row r="17" spans="1:20" x14ac:dyDescent="0.35">
      <c r="A17">
        <v>16</v>
      </c>
      <c r="B17" t="s">
        <v>59</v>
      </c>
      <c r="C17" t="s">
        <v>60</v>
      </c>
      <c r="D17" t="s">
        <v>29</v>
      </c>
      <c r="E17" t="s">
        <v>1916</v>
      </c>
      <c r="F17" t="s">
        <v>20</v>
      </c>
      <c r="G17" t="s">
        <v>1916</v>
      </c>
      <c r="H17" t="s">
        <v>21</v>
      </c>
      <c r="I17" t="s">
        <v>22</v>
      </c>
      <c r="J17">
        <v>1989</v>
      </c>
      <c r="K17">
        <f>2026-Table1[[#This Row],[Birthyear]]</f>
        <v>37</v>
      </c>
      <c r="L17" t="s">
        <v>1290</v>
      </c>
      <c r="M17" t="s">
        <v>1290</v>
      </c>
      <c r="N17" t="s">
        <v>1296</v>
      </c>
      <c r="O17" t="s">
        <v>1328</v>
      </c>
      <c r="Q17" t="s">
        <v>1306</v>
      </c>
      <c r="R17" t="s">
        <v>1329</v>
      </c>
      <c r="S17" t="s">
        <v>1330</v>
      </c>
      <c r="T17" t="str">
        <f>CONCATENATE(Table1[[#This Row],[Name]]," ",Table1[[#This Row],[Surname/Studio Name/Artistic Name]])</f>
        <v>Sara AlAbdali</v>
      </c>
    </row>
    <row r="18" spans="1:20" x14ac:dyDescent="0.35">
      <c r="A18">
        <v>17</v>
      </c>
      <c r="B18" t="s">
        <v>61</v>
      </c>
      <c r="C18" t="s">
        <v>62</v>
      </c>
      <c r="D18" t="s">
        <v>29</v>
      </c>
      <c r="E18" t="s">
        <v>1916</v>
      </c>
      <c r="F18" t="s">
        <v>20</v>
      </c>
      <c r="G18" t="s">
        <v>1916</v>
      </c>
      <c r="H18" t="s">
        <v>21</v>
      </c>
      <c r="J18">
        <v>1981</v>
      </c>
      <c r="K18">
        <f>2026-Table1[[#This Row],[Birthyear]]</f>
        <v>45</v>
      </c>
      <c r="L18" t="s">
        <v>1315</v>
      </c>
      <c r="M18" t="s">
        <v>1315</v>
      </c>
      <c r="N18" t="s">
        <v>1327</v>
      </c>
      <c r="S18" t="s">
        <v>1331</v>
      </c>
      <c r="T18" t="str">
        <f>CONCATENATE(Table1[[#This Row],[Name]]," ",Table1[[#This Row],[Surname/Studio Name/Artistic Name]])</f>
        <v>Seema AlAbdulhai</v>
      </c>
    </row>
    <row r="19" spans="1:20" x14ac:dyDescent="0.35">
      <c r="A19">
        <v>18</v>
      </c>
      <c r="B19" t="s">
        <v>63</v>
      </c>
      <c r="C19" t="s">
        <v>64</v>
      </c>
      <c r="D19" t="s">
        <v>211</v>
      </c>
      <c r="E19" t="s">
        <v>1916</v>
      </c>
      <c r="F19" t="s">
        <v>25</v>
      </c>
      <c r="G19" t="s">
        <v>1916</v>
      </c>
      <c r="H19" t="s">
        <v>21</v>
      </c>
      <c r="I19" t="s">
        <v>22</v>
      </c>
      <c r="J19">
        <v>1972</v>
      </c>
      <c r="K19">
        <f>2026-Table1[[#This Row],[Birthyear]]</f>
        <v>54</v>
      </c>
      <c r="L19" t="s">
        <v>1293</v>
      </c>
      <c r="M19" t="s">
        <v>1293</v>
      </c>
      <c r="N19" t="s">
        <v>1291</v>
      </c>
      <c r="T19" t="str">
        <f>CONCATENATE(Table1[[#This Row],[Name]]," ",Table1[[#This Row],[Surname/Studio Name/Artistic Name]])</f>
        <v>Nevin Aladağ​</v>
      </c>
    </row>
    <row r="20" spans="1:20" x14ac:dyDescent="0.35">
      <c r="A20">
        <v>19</v>
      </c>
      <c r="B20" t="s">
        <v>65</v>
      </c>
      <c r="C20" t="s">
        <v>66</v>
      </c>
      <c r="D20" t="s">
        <v>29</v>
      </c>
      <c r="E20" t="s">
        <v>1916</v>
      </c>
      <c r="F20" t="s">
        <v>20</v>
      </c>
      <c r="G20" t="s">
        <v>1916</v>
      </c>
      <c r="H20" t="s">
        <v>21</v>
      </c>
      <c r="J20">
        <v>1994</v>
      </c>
      <c r="K20">
        <f>2026-Table1[[#This Row],[Birthyear]]</f>
        <v>32</v>
      </c>
      <c r="L20" t="s">
        <v>1900</v>
      </c>
      <c r="M20" t="s">
        <v>1300</v>
      </c>
      <c r="N20" t="s">
        <v>1296</v>
      </c>
      <c r="O20" t="s">
        <v>1332</v>
      </c>
      <c r="P20" t="s">
        <v>1333</v>
      </c>
      <c r="Q20" t="s">
        <v>1334</v>
      </c>
      <c r="R20" t="s">
        <v>1335</v>
      </c>
      <c r="S20" t="s">
        <v>1304</v>
      </c>
      <c r="T20" t="str">
        <f>CONCATENATE(Table1[[#This Row],[Name]]," ",Table1[[#This Row],[Surname/Studio Name/Artistic Name]])</f>
        <v>Raghad AlAhmad</v>
      </c>
    </row>
    <row r="21" spans="1:20" x14ac:dyDescent="0.35">
      <c r="A21">
        <v>20</v>
      </c>
      <c r="B21" t="s">
        <v>67</v>
      </c>
      <c r="C21" t="s">
        <v>68</v>
      </c>
      <c r="D21" t="s">
        <v>29</v>
      </c>
      <c r="E21" t="s">
        <v>1916</v>
      </c>
      <c r="F21" t="s">
        <v>25</v>
      </c>
      <c r="G21" t="s">
        <v>1916</v>
      </c>
      <c r="H21" t="s">
        <v>26</v>
      </c>
      <c r="I21" t="s">
        <v>22</v>
      </c>
      <c r="J21">
        <v>1987</v>
      </c>
      <c r="K21">
        <f>2026-Table1[[#This Row],[Birthyear]]</f>
        <v>39</v>
      </c>
      <c r="L21" t="s">
        <v>1293</v>
      </c>
      <c r="M21" t="s">
        <v>1293</v>
      </c>
      <c r="N21" t="s">
        <v>1294</v>
      </c>
      <c r="T21" t="str">
        <f>CONCATENATE(Table1[[#This Row],[Name]]," ",Table1[[#This Row],[Surname/Studio Name/Artistic Name]])</f>
        <v>Yusef Alahmad</v>
      </c>
    </row>
    <row r="22" spans="1:20" x14ac:dyDescent="0.35">
      <c r="A22">
        <v>21</v>
      </c>
      <c r="B22" t="s">
        <v>69</v>
      </c>
      <c r="C22" t="s">
        <v>70</v>
      </c>
      <c r="D22" t="s">
        <v>29</v>
      </c>
      <c r="E22" t="s">
        <v>1916</v>
      </c>
      <c r="F22" t="s">
        <v>20</v>
      </c>
      <c r="G22" t="s">
        <v>1916</v>
      </c>
      <c r="H22" t="s">
        <v>21</v>
      </c>
      <c r="I22" t="s">
        <v>22</v>
      </c>
      <c r="J22">
        <v>1991</v>
      </c>
      <c r="K22">
        <f>2026-Table1[[#This Row],[Birthyear]]</f>
        <v>35</v>
      </c>
      <c r="L22" t="s">
        <v>1315</v>
      </c>
      <c r="M22" t="s">
        <v>1315</v>
      </c>
      <c r="N22" t="s">
        <v>1291</v>
      </c>
      <c r="S22" t="s">
        <v>1336</v>
      </c>
      <c r="T22" t="str">
        <f>CONCATENATE(Table1[[#This Row],[Name]]," ",Table1[[#This Row],[Surname/Studio Name/Artistic Name]])</f>
        <v>Huda AlAithan</v>
      </c>
    </row>
    <row r="23" spans="1:20" x14ac:dyDescent="0.35">
      <c r="A23">
        <v>22</v>
      </c>
      <c r="B23" t="s">
        <v>71</v>
      </c>
      <c r="C23" t="s">
        <v>72</v>
      </c>
      <c r="D23" t="s">
        <v>29</v>
      </c>
      <c r="E23" t="s">
        <v>1916</v>
      </c>
      <c r="F23" t="s">
        <v>25</v>
      </c>
      <c r="G23" t="s">
        <v>1916</v>
      </c>
      <c r="H23" t="s">
        <v>21</v>
      </c>
      <c r="I23" t="s">
        <v>22</v>
      </c>
      <c r="J23">
        <v>1991</v>
      </c>
      <c r="K23">
        <f>2026-Table1[[#This Row],[Birthyear]]</f>
        <v>35</v>
      </c>
      <c r="L23" t="s">
        <v>1293</v>
      </c>
      <c r="M23" t="s">
        <v>1293</v>
      </c>
      <c r="N23" t="s">
        <v>1294</v>
      </c>
      <c r="T23" t="str">
        <f>CONCATENATE(Table1[[#This Row],[Name]]," ",Table1[[#This Row],[Surname/Studio Name/Artistic Name]])</f>
        <v>Ahaad Alamoudi</v>
      </c>
    </row>
    <row r="24" spans="1:20" x14ac:dyDescent="0.35">
      <c r="A24">
        <v>23</v>
      </c>
      <c r="B24" t="s">
        <v>71</v>
      </c>
      <c r="C24" t="s">
        <v>72</v>
      </c>
      <c r="D24" t="s">
        <v>29</v>
      </c>
      <c r="E24" t="s">
        <v>1916</v>
      </c>
      <c r="F24" t="s">
        <v>25</v>
      </c>
      <c r="G24" t="s">
        <v>1916</v>
      </c>
      <c r="H24" t="s">
        <v>21</v>
      </c>
      <c r="I24" t="s">
        <v>22</v>
      </c>
      <c r="J24">
        <v>1991</v>
      </c>
      <c r="K24">
        <f>2026-Table1[[#This Row],[Birthyear]]</f>
        <v>35</v>
      </c>
      <c r="L24" t="s">
        <v>1900</v>
      </c>
      <c r="M24" t="s">
        <v>1300</v>
      </c>
      <c r="N24" t="s">
        <v>1296</v>
      </c>
      <c r="O24" t="s">
        <v>1872</v>
      </c>
      <c r="P24">
        <v>2022</v>
      </c>
      <c r="Q24" t="s">
        <v>1298</v>
      </c>
      <c r="R24" t="s">
        <v>1382</v>
      </c>
      <c r="S24" t="s">
        <v>1304</v>
      </c>
      <c r="T24" t="str">
        <f>CONCATENATE(Table1[[#This Row],[Name]]," ",Table1[[#This Row],[Surname/Studio Name/Artistic Name]])</f>
        <v>Ahaad Alamoudi</v>
      </c>
    </row>
    <row r="25" spans="1:20" x14ac:dyDescent="0.35">
      <c r="A25">
        <v>24</v>
      </c>
      <c r="B25" t="s">
        <v>71</v>
      </c>
      <c r="C25" t="s">
        <v>72</v>
      </c>
      <c r="D25" t="s">
        <v>29</v>
      </c>
      <c r="E25" t="s">
        <v>1916</v>
      </c>
      <c r="F25" t="s">
        <v>25</v>
      </c>
      <c r="G25" t="s">
        <v>1916</v>
      </c>
      <c r="H25" t="s">
        <v>21</v>
      </c>
      <c r="I25" t="s">
        <v>22</v>
      </c>
      <c r="J25">
        <v>1991</v>
      </c>
      <c r="K25">
        <f>2026-Table1[[#This Row],[Birthyear]]</f>
        <v>35</v>
      </c>
      <c r="L25" t="s">
        <v>1290</v>
      </c>
      <c r="M25" t="s">
        <v>1290</v>
      </c>
      <c r="N25" t="s">
        <v>1296</v>
      </c>
      <c r="O25" t="s">
        <v>1873</v>
      </c>
      <c r="Q25" t="s">
        <v>1306</v>
      </c>
      <c r="R25" t="s">
        <v>1874</v>
      </c>
      <c r="S25" t="s">
        <v>1875</v>
      </c>
      <c r="T25" t="str">
        <f>CONCATENATE(Table1[[#This Row],[Name]]," ",Table1[[#This Row],[Surname/Studio Name/Artistic Name]])</f>
        <v>Ahaad Alamoudi</v>
      </c>
    </row>
    <row r="26" spans="1:20" x14ac:dyDescent="0.35">
      <c r="A26">
        <v>25</v>
      </c>
      <c r="B26" t="s">
        <v>71</v>
      </c>
      <c r="C26" t="s">
        <v>72</v>
      </c>
      <c r="D26" t="s">
        <v>29</v>
      </c>
      <c r="E26" t="s">
        <v>1916</v>
      </c>
      <c r="F26" t="s">
        <v>25</v>
      </c>
      <c r="G26" t="s">
        <v>1916</v>
      </c>
      <c r="H26" t="s">
        <v>21</v>
      </c>
      <c r="I26" t="s">
        <v>22</v>
      </c>
      <c r="J26">
        <v>1991</v>
      </c>
      <c r="K26">
        <f>2026-Table1[[#This Row],[Birthyear]]</f>
        <v>35</v>
      </c>
      <c r="L26" t="s">
        <v>1900</v>
      </c>
      <c r="M26" t="s">
        <v>1317</v>
      </c>
      <c r="N26" t="s">
        <v>1296</v>
      </c>
      <c r="O26" t="s">
        <v>1876</v>
      </c>
      <c r="P26">
        <v>2023</v>
      </c>
      <c r="Q26" t="s">
        <v>1319</v>
      </c>
      <c r="R26" t="s">
        <v>1312</v>
      </c>
      <c r="S26" t="s">
        <v>1320</v>
      </c>
      <c r="T26" t="str">
        <f>CONCATENATE(Table1[[#This Row],[Name]]," ",Table1[[#This Row],[Surname/Studio Name/Artistic Name]])</f>
        <v>Ahaad Alamoudi</v>
      </c>
    </row>
    <row r="27" spans="1:20" x14ac:dyDescent="0.35">
      <c r="A27">
        <v>26</v>
      </c>
      <c r="B27" t="s">
        <v>71</v>
      </c>
      <c r="C27" t="s">
        <v>72</v>
      </c>
      <c r="D27" t="s">
        <v>29</v>
      </c>
      <c r="E27" t="s">
        <v>1916</v>
      </c>
      <c r="F27" t="s">
        <v>25</v>
      </c>
      <c r="G27" t="s">
        <v>1916</v>
      </c>
      <c r="H27" t="s">
        <v>21</v>
      </c>
      <c r="I27" t="s">
        <v>22</v>
      </c>
      <c r="J27">
        <v>1991</v>
      </c>
      <c r="K27">
        <f>2026-Table1[[#This Row],[Birthyear]]</f>
        <v>35</v>
      </c>
      <c r="L27" t="s">
        <v>1663</v>
      </c>
      <c r="M27" t="s">
        <v>1663</v>
      </c>
      <c r="N27" t="s">
        <v>1291</v>
      </c>
      <c r="S27" t="s">
        <v>1877</v>
      </c>
      <c r="T27" t="str">
        <f>CONCATENATE(Table1[[#This Row],[Name]]," ",Table1[[#This Row],[Surname/Studio Name/Artistic Name]])</f>
        <v>Ahaad Alamoudi</v>
      </c>
    </row>
    <row r="28" spans="1:20" x14ac:dyDescent="0.35">
      <c r="A28">
        <v>27</v>
      </c>
      <c r="B28" t="s">
        <v>71</v>
      </c>
      <c r="C28" t="s">
        <v>72</v>
      </c>
      <c r="D28" t="s">
        <v>29</v>
      </c>
      <c r="E28" t="s">
        <v>1916</v>
      </c>
      <c r="F28" t="s">
        <v>25</v>
      </c>
      <c r="G28" t="s">
        <v>1916</v>
      </c>
      <c r="H28" t="s">
        <v>21</v>
      </c>
      <c r="I28" t="s">
        <v>22</v>
      </c>
      <c r="J28">
        <v>1991</v>
      </c>
      <c r="K28">
        <f>2026-Table1[[#This Row],[Birthyear]]</f>
        <v>35</v>
      </c>
      <c r="L28" t="s">
        <v>1290</v>
      </c>
      <c r="M28" t="s">
        <v>1290</v>
      </c>
      <c r="N28" t="s">
        <v>1296</v>
      </c>
      <c r="O28" t="s">
        <v>1878</v>
      </c>
      <c r="Q28" t="s">
        <v>1319</v>
      </c>
      <c r="R28" t="s">
        <v>1879</v>
      </c>
      <c r="S28" t="s">
        <v>1880</v>
      </c>
      <c r="T28" t="str">
        <f>CONCATENATE(Table1[[#This Row],[Name]]," ",Table1[[#This Row],[Surname/Studio Name/Artistic Name]])</f>
        <v>Ahaad Alamoudi</v>
      </c>
    </row>
    <row r="29" spans="1:20" x14ac:dyDescent="0.35">
      <c r="A29">
        <v>28</v>
      </c>
      <c r="B29" t="s">
        <v>71</v>
      </c>
      <c r="C29" t="s">
        <v>73</v>
      </c>
      <c r="D29" t="s">
        <v>29</v>
      </c>
      <c r="E29" t="s">
        <v>1916</v>
      </c>
      <c r="F29" t="s">
        <v>20</v>
      </c>
      <c r="G29" t="s">
        <v>1916</v>
      </c>
      <c r="H29" t="s">
        <v>21</v>
      </c>
      <c r="J29">
        <v>1991</v>
      </c>
      <c r="K29">
        <f>2026-Table1[[#This Row],[Birthyear]]</f>
        <v>35</v>
      </c>
      <c r="L29" t="s">
        <v>1290</v>
      </c>
      <c r="M29" t="s">
        <v>1290</v>
      </c>
      <c r="N29" t="s">
        <v>1337</v>
      </c>
      <c r="S29" t="s">
        <v>1338</v>
      </c>
      <c r="T29" t="str">
        <f>CONCATENATE(Table1[[#This Row],[Name]]," ",Table1[[#This Row],[Surname/Studio Name/Artistic Name]])</f>
        <v>Rana Alamoudi</v>
      </c>
    </row>
    <row r="30" spans="1:20" x14ac:dyDescent="0.35">
      <c r="A30">
        <v>29</v>
      </c>
      <c r="B30" t="s">
        <v>74</v>
      </c>
      <c r="C30" t="s">
        <v>75</v>
      </c>
      <c r="D30" t="s">
        <v>29</v>
      </c>
      <c r="E30" t="s">
        <v>1916</v>
      </c>
      <c r="F30" t="s">
        <v>20</v>
      </c>
      <c r="G30" t="s">
        <v>1916</v>
      </c>
      <c r="H30" t="s">
        <v>26</v>
      </c>
      <c r="J30">
        <v>1996</v>
      </c>
      <c r="K30">
        <f>2026-Table1[[#This Row],[Birthyear]]</f>
        <v>30</v>
      </c>
      <c r="L30" t="s">
        <v>1900</v>
      </c>
      <c r="M30" t="s">
        <v>1317</v>
      </c>
      <c r="N30" t="s">
        <v>1296</v>
      </c>
      <c r="O30" t="s">
        <v>1339</v>
      </c>
      <c r="P30">
        <v>2023</v>
      </c>
      <c r="Q30" t="s">
        <v>1302</v>
      </c>
      <c r="R30" t="s">
        <v>1340</v>
      </c>
      <c r="S30" t="s">
        <v>1341</v>
      </c>
      <c r="T30" t="str">
        <f>CONCATENATE(Table1[[#This Row],[Name]]," ",Table1[[#This Row],[Surname/Studio Name/Artistic Name]])</f>
        <v>Abdullah Alamoudi​</v>
      </c>
    </row>
    <row r="31" spans="1:20" x14ac:dyDescent="0.35">
      <c r="A31">
        <v>30</v>
      </c>
      <c r="B31" t="s">
        <v>76</v>
      </c>
      <c r="C31" t="s">
        <v>77</v>
      </c>
      <c r="D31" t="s">
        <v>29</v>
      </c>
      <c r="E31" t="s">
        <v>1916</v>
      </c>
      <c r="F31" t="s">
        <v>20</v>
      </c>
      <c r="G31" t="s">
        <v>1916</v>
      </c>
      <c r="H31" t="s">
        <v>21</v>
      </c>
      <c r="J31">
        <v>2002</v>
      </c>
      <c r="K31">
        <f>2026-Table1[[#This Row],[Birthyear]]</f>
        <v>24</v>
      </c>
      <c r="L31" t="s">
        <v>1914</v>
      </c>
      <c r="M31" t="s">
        <v>1342</v>
      </c>
      <c r="N31" t="s">
        <v>1296</v>
      </c>
      <c r="O31" t="s">
        <v>1343</v>
      </c>
      <c r="P31">
        <v>2025</v>
      </c>
      <c r="Q31" t="s">
        <v>1344</v>
      </c>
      <c r="T31" t="str">
        <f>CONCATENATE(Table1[[#This Row],[Name]]," ",Table1[[#This Row],[Surname/Studio Name/Artistic Name]])</f>
        <v>Bodour AlAqidi</v>
      </c>
    </row>
    <row r="32" spans="1:20" x14ac:dyDescent="0.35">
      <c r="A32">
        <v>31</v>
      </c>
      <c r="B32" t="s">
        <v>78</v>
      </c>
      <c r="C32" t="s">
        <v>79</v>
      </c>
      <c r="D32" t="s">
        <v>29</v>
      </c>
      <c r="E32" t="s">
        <v>1916</v>
      </c>
      <c r="F32" t="s">
        <v>25</v>
      </c>
      <c r="G32" t="s">
        <v>1916</v>
      </c>
      <c r="H32" t="s">
        <v>26</v>
      </c>
      <c r="I32" t="s">
        <v>22</v>
      </c>
      <c r="J32">
        <v>1986</v>
      </c>
      <c r="K32">
        <f>2026-Table1[[#This Row],[Birthyear]]</f>
        <v>40</v>
      </c>
      <c r="L32" t="s">
        <v>1293</v>
      </c>
      <c r="M32" t="s">
        <v>1293</v>
      </c>
      <c r="N32" t="s">
        <v>1294</v>
      </c>
      <c r="T32" t="str">
        <f>CONCATENATE(Table1[[#This Row],[Name]]," ",Table1[[#This Row],[Surname/Studio Name/Artistic Name]])</f>
        <v>Hmoud AlAttawi</v>
      </c>
    </row>
    <row r="33" spans="1:20" x14ac:dyDescent="0.35">
      <c r="A33">
        <v>32</v>
      </c>
      <c r="B33" t="s">
        <v>80</v>
      </c>
      <c r="C33" t="s">
        <v>81</v>
      </c>
      <c r="D33" t="s">
        <v>29</v>
      </c>
      <c r="E33" t="s">
        <v>1916</v>
      </c>
      <c r="F33" t="s">
        <v>20</v>
      </c>
      <c r="G33" t="s">
        <v>1916</v>
      </c>
      <c r="H33" t="s">
        <v>26</v>
      </c>
      <c r="J33">
        <v>1979</v>
      </c>
      <c r="K33">
        <f>2026-Table1[[#This Row],[Birthyear]]</f>
        <v>47</v>
      </c>
      <c r="L33" t="s">
        <v>1914</v>
      </c>
      <c r="M33" t="s">
        <v>1345</v>
      </c>
      <c r="N33" t="s">
        <v>1296</v>
      </c>
      <c r="O33" t="s">
        <v>1346</v>
      </c>
      <c r="P33">
        <v>2021</v>
      </c>
      <c r="Q33" t="s">
        <v>1344</v>
      </c>
      <c r="R33" t="s">
        <v>1299</v>
      </c>
      <c r="T33" t="str">
        <f>CONCATENATE(Table1[[#This Row],[Name]]," ",Table1[[#This Row],[Surname/Studio Name/Artistic Name]])</f>
        <v xml:space="preserve">Haidar Alawi Al-Alawi </v>
      </c>
    </row>
    <row r="34" spans="1:20" x14ac:dyDescent="0.35">
      <c r="A34">
        <v>33</v>
      </c>
      <c r="B34" t="s">
        <v>82</v>
      </c>
      <c r="C34" t="s">
        <v>83</v>
      </c>
      <c r="D34" t="s">
        <v>44</v>
      </c>
      <c r="E34" t="s">
        <v>1916</v>
      </c>
      <c r="F34" t="s">
        <v>20</v>
      </c>
      <c r="G34" t="s">
        <v>1916</v>
      </c>
      <c r="H34" t="s">
        <v>21</v>
      </c>
      <c r="I34" t="s">
        <v>22</v>
      </c>
      <c r="J34">
        <v>1996</v>
      </c>
      <c r="K34">
        <f>2026-Table1[[#This Row],[Birthyear]]</f>
        <v>30</v>
      </c>
      <c r="L34" t="s">
        <v>1900</v>
      </c>
      <c r="M34" t="s">
        <v>1317</v>
      </c>
      <c r="N34" t="s">
        <v>1296</v>
      </c>
      <c r="O34" t="s">
        <v>1347</v>
      </c>
      <c r="P34">
        <v>2023</v>
      </c>
      <c r="Q34" t="s">
        <v>1348</v>
      </c>
      <c r="R34" t="s">
        <v>1312</v>
      </c>
      <c r="S34" t="s">
        <v>1320</v>
      </c>
      <c r="T34" t="str">
        <f>CONCATENATE(Table1[[#This Row],[Name]]," ",Table1[[#This Row],[Surname/Studio Name/Artistic Name]])</f>
        <v>Amna AlBaker​</v>
      </c>
    </row>
    <row r="35" spans="1:20" x14ac:dyDescent="0.35">
      <c r="A35">
        <v>34</v>
      </c>
      <c r="B35" t="s">
        <v>84</v>
      </c>
      <c r="C35" t="s">
        <v>85</v>
      </c>
      <c r="D35" t="s">
        <v>29</v>
      </c>
      <c r="E35" t="s">
        <v>1916</v>
      </c>
      <c r="F35" t="s">
        <v>20</v>
      </c>
      <c r="G35" t="s">
        <v>1916</v>
      </c>
      <c r="H35" t="s">
        <v>26</v>
      </c>
      <c r="I35" t="s">
        <v>22</v>
      </c>
      <c r="J35">
        <v>1988</v>
      </c>
      <c r="K35">
        <f>2026-Table1[[#This Row],[Birthyear]]</f>
        <v>38</v>
      </c>
      <c r="L35" t="s">
        <v>1315</v>
      </c>
      <c r="M35" t="s">
        <v>1315</v>
      </c>
      <c r="N35" t="s">
        <v>1309</v>
      </c>
      <c r="S35" t="s">
        <v>1336</v>
      </c>
      <c r="T35" t="str">
        <f>CONCATENATE(Table1[[#This Row],[Name]]," ",Table1[[#This Row],[Surname/Studio Name/Artistic Name]])</f>
        <v>Abdulmohsen Albinali​</v>
      </c>
    </row>
    <row r="36" spans="1:20" x14ac:dyDescent="0.35">
      <c r="A36">
        <v>35</v>
      </c>
      <c r="B36" t="s">
        <v>86</v>
      </c>
      <c r="C36" t="s">
        <v>87</v>
      </c>
      <c r="D36" t="s">
        <v>1891</v>
      </c>
      <c r="E36" t="s">
        <v>1916</v>
      </c>
      <c r="F36" t="s">
        <v>20</v>
      </c>
      <c r="G36" t="s">
        <v>1916</v>
      </c>
      <c r="H36" t="s">
        <v>21</v>
      </c>
      <c r="J36">
        <v>1946</v>
      </c>
      <c r="K36">
        <f>2026-Table1[[#This Row],[Birthyear]]</f>
        <v>80</v>
      </c>
      <c r="L36" t="s">
        <v>1290</v>
      </c>
      <c r="M36" t="s">
        <v>1290</v>
      </c>
      <c r="N36" t="s">
        <v>1337</v>
      </c>
      <c r="S36" t="s">
        <v>1338</v>
      </c>
      <c r="T36" t="str">
        <f>CONCATENATE(Table1[[#This Row],[Name]]," ",Table1[[#This Row],[Surname/Studio Name/Artistic Name]])</f>
        <v>Lita Albuquerque</v>
      </c>
    </row>
    <row r="37" spans="1:20" x14ac:dyDescent="0.35">
      <c r="A37">
        <v>36</v>
      </c>
      <c r="B37" t="s">
        <v>88</v>
      </c>
      <c r="C37" t="s">
        <v>89</v>
      </c>
      <c r="D37" t="s">
        <v>90</v>
      </c>
      <c r="E37" t="s">
        <v>1916</v>
      </c>
      <c r="F37" t="s">
        <v>20</v>
      </c>
      <c r="G37" t="s">
        <v>1916</v>
      </c>
      <c r="H37" t="s">
        <v>26</v>
      </c>
      <c r="J37">
        <v>1984</v>
      </c>
      <c r="K37">
        <f>2026-Table1[[#This Row],[Birthyear]]</f>
        <v>42</v>
      </c>
      <c r="L37" t="s">
        <v>1290</v>
      </c>
      <c r="M37" t="s">
        <v>1290</v>
      </c>
      <c r="N37" t="s">
        <v>1337</v>
      </c>
      <c r="S37" t="s">
        <v>1338</v>
      </c>
      <c r="T37" t="str">
        <f>CONCATENATE(Table1[[#This Row],[Name]]," ",Table1[[#This Row],[Surname/Studio Name/Artistic Name]])</f>
        <v>Almigdad Aldikhairy</v>
      </c>
    </row>
    <row r="38" spans="1:20" x14ac:dyDescent="0.35">
      <c r="A38">
        <v>37</v>
      </c>
      <c r="B38" t="s">
        <v>91</v>
      </c>
      <c r="C38" t="s">
        <v>92</v>
      </c>
      <c r="D38" t="s">
        <v>29</v>
      </c>
      <c r="E38" t="s">
        <v>1916</v>
      </c>
      <c r="F38" t="s">
        <v>20</v>
      </c>
      <c r="G38" t="s">
        <v>1916</v>
      </c>
      <c r="H38" t="s">
        <v>26</v>
      </c>
      <c r="I38" t="s">
        <v>22</v>
      </c>
      <c r="J38">
        <v>1993</v>
      </c>
      <c r="K38">
        <f>2026-Table1[[#This Row],[Birthyear]]</f>
        <v>33</v>
      </c>
      <c r="L38" t="s">
        <v>1900</v>
      </c>
      <c r="M38" t="s">
        <v>1322</v>
      </c>
      <c r="N38" t="s">
        <v>1296</v>
      </c>
      <c r="O38" t="s">
        <v>1349</v>
      </c>
      <c r="P38">
        <v>2024</v>
      </c>
      <c r="Q38" t="s">
        <v>1350</v>
      </c>
      <c r="R38" t="s">
        <v>1312</v>
      </c>
      <c r="T38" t="str">
        <f>CONCATENATE(Table1[[#This Row],[Name]]," ",Table1[[#This Row],[Surname/Studio Name/Artistic Name]])</f>
        <v>Nawaf AlDohan</v>
      </c>
    </row>
    <row r="39" spans="1:20" x14ac:dyDescent="0.35">
      <c r="A39">
        <v>38</v>
      </c>
      <c r="B39" t="s">
        <v>93</v>
      </c>
      <c r="C39" t="s">
        <v>94</v>
      </c>
      <c r="D39" t="s">
        <v>29</v>
      </c>
      <c r="E39" t="s">
        <v>1916</v>
      </c>
      <c r="F39" t="s">
        <v>25</v>
      </c>
      <c r="G39" t="s">
        <v>1916</v>
      </c>
      <c r="H39" t="s">
        <v>21</v>
      </c>
      <c r="I39" t="s">
        <v>22</v>
      </c>
      <c r="J39">
        <v>1973</v>
      </c>
      <c r="K39">
        <f>2026-Table1[[#This Row],[Birthyear]]</f>
        <v>53</v>
      </c>
      <c r="L39" t="s">
        <v>1293</v>
      </c>
      <c r="M39" t="s">
        <v>1293</v>
      </c>
      <c r="N39" t="s">
        <v>1296</v>
      </c>
      <c r="O39" t="s">
        <v>1351</v>
      </c>
      <c r="Q39" t="s">
        <v>1298</v>
      </c>
      <c r="R39" t="s">
        <v>1352</v>
      </c>
      <c r="S39" t="s">
        <v>1353</v>
      </c>
      <c r="T39" t="str">
        <f>CONCATENATE(Table1[[#This Row],[Name]]," ",Table1[[#This Row],[Surname/Studio Name/Artistic Name]])</f>
        <v>Manal AlDowayan</v>
      </c>
    </row>
    <row r="40" spans="1:20" x14ac:dyDescent="0.35">
      <c r="A40">
        <v>39</v>
      </c>
      <c r="B40" t="s">
        <v>95</v>
      </c>
      <c r="C40" t="s">
        <v>96</v>
      </c>
      <c r="D40" t="s">
        <v>29</v>
      </c>
      <c r="E40" t="s">
        <v>1916</v>
      </c>
      <c r="F40" t="s">
        <v>25</v>
      </c>
      <c r="G40" t="s">
        <v>1916</v>
      </c>
      <c r="H40" t="s">
        <v>21</v>
      </c>
      <c r="I40" t="s">
        <v>22</v>
      </c>
      <c r="J40">
        <v>1960</v>
      </c>
      <c r="K40">
        <f>2026-Table1[[#This Row],[Birthyear]]</f>
        <v>66</v>
      </c>
      <c r="L40" t="s">
        <v>1293</v>
      </c>
      <c r="M40" t="s">
        <v>1293</v>
      </c>
      <c r="N40" t="s">
        <v>1309</v>
      </c>
      <c r="T40" t="str">
        <f>CONCATENATE(Table1[[#This Row],[Name]]," ",Table1[[#This Row],[Surname/Studio Name/Artistic Name]])</f>
        <v>Shadia Alem</v>
      </c>
    </row>
    <row r="41" spans="1:20" x14ac:dyDescent="0.35">
      <c r="A41">
        <v>40</v>
      </c>
      <c r="B41" t="s">
        <v>97</v>
      </c>
      <c r="C41" t="s">
        <v>98</v>
      </c>
      <c r="D41" t="s">
        <v>29</v>
      </c>
      <c r="E41" t="s">
        <v>1916</v>
      </c>
      <c r="F41" t="s">
        <v>20</v>
      </c>
      <c r="G41" t="s">
        <v>1916</v>
      </c>
      <c r="H41" t="s">
        <v>26</v>
      </c>
      <c r="I41" t="s">
        <v>22</v>
      </c>
      <c r="J41">
        <v>1993</v>
      </c>
      <c r="K41">
        <f>2026-Table1[[#This Row],[Birthyear]]</f>
        <v>33</v>
      </c>
      <c r="L41" t="s">
        <v>1900</v>
      </c>
      <c r="M41" t="s">
        <v>1317</v>
      </c>
      <c r="N41" t="s">
        <v>1296</v>
      </c>
      <c r="O41" t="s">
        <v>1354</v>
      </c>
      <c r="P41">
        <v>2023</v>
      </c>
      <c r="Q41" t="s">
        <v>1298</v>
      </c>
      <c r="R41" t="s">
        <v>1355</v>
      </c>
      <c r="S41" t="s">
        <v>1341</v>
      </c>
      <c r="T41" t="str">
        <f>CONCATENATE(Table1[[#This Row],[Name]]," ",Table1[[#This Row],[Surname/Studio Name/Artistic Name]])</f>
        <v>Mohammad AlFaraj​</v>
      </c>
    </row>
    <row r="42" spans="1:20" x14ac:dyDescent="0.35">
      <c r="A42">
        <v>41</v>
      </c>
      <c r="B42" t="s">
        <v>99</v>
      </c>
      <c r="C42" t="s">
        <v>100</v>
      </c>
      <c r="D42" t="s">
        <v>29</v>
      </c>
      <c r="E42" t="s">
        <v>1916</v>
      </c>
      <c r="F42" t="s">
        <v>20</v>
      </c>
      <c r="G42" t="s">
        <v>1916</v>
      </c>
      <c r="H42" t="s">
        <v>26</v>
      </c>
      <c r="J42">
        <v>1961</v>
      </c>
      <c r="K42">
        <f>2026-Table1[[#This Row],[Birthyear]]</f>
        <v>65</v>
      </c>
      <c r="L42" t="s">
        <v>1914</v>
      </c>
      <c r="M42" t="s">
        <v>1326</v>
      </c>
      <c r="N42" t="s">
        <v>1296</v>
      </c>
      <c r="O42" t="s">
        <v>1356</v>
      </c>
      <c r="P42">
        <v>2023</v>
      </c>
      <c r="Q42" t="s">
        <v>1344</v>
      </c>
      <c r="T42" t="str">
        <f>CONCATENATE(Table1[[#This Row],[Name]]," ",Table1[[#This Row],[Surname/Studio Name/Artistic Name]])</f>
        <v>Mohammed AlFaris</v>
      </c>
    </row>
    <row r="43" spans="1:20" x14ac:dyDescent="0.35">
      <c r="A43">
        <v>42</v>
      </c>
      <c r="B43" t="s">
        <v>101</v>
      </c>
      <c r="C43" t="s">
        <v>102</v>
      </c>
      <c r="D43" t="s">
        <v>29</v>
      </c>
      <c r="E43" t="s">
        <v>1916</v>
      </c>
      <c r="F43" t="s">
        <v>25</v>
      </c>
      <c r="G43" t="s">
        <v>1916</v>
      </c>
      <c r="H43" t="s">
        <v>26</v>
      </c>
      <c r="J43">
        <v>1982</v>
      </c>
      <c r="K43">
        <f>2026-Table1[[#This Row],[Birthyear]]</f>
        <v>44</v>
      </c>
      <c r="L43" t="s">
        <v>1293</v>
      </c>
      <c r="M43" t="s">
        <v>1293</v>
      </c>
      <c r="N43" t="s">
        <v>1294</v>
      </c>
      <c r="T43" t="str">
        <f>CONCATENATE(Table1[[#This Row],[Name]]," ",Table1[[#This Row],[Surname/Studio Name/Artistic Name]])</f>
        <v>Fahad AlGethami</v>
      </c>
    </row>
    <row r="44" spans="1:20" x14ac:dyDescent="0.35">
      <c r="A44">
        <v>43</v>
      </c>
      <c r="B44" t="s">
        <v>103</v>
      </c>
      <c r="C44" t="s">
        <v>104</v>
      </c>
      <c r="D44" t="s">
        <v>29</v>
      </c>
      <c r="E44" t="s">
        <v>1916</v>
      </c>
      <c r="F44" t="s">
        <v>20</v>
      </c>
      <c r="G44" t="s">
        <v>1916</v>
      </c>
      <c r="H44" t="s">
        <v>21</v>
      </c>
      <c r="I44" t="s">
        <v>22</v>
      </c>
      <c r="J44">
        <v>1977</v>
      </c>
      <c r="K44">
        <f>2026-Table1[[#This Row],[Birthyear]]</f>
        <v>49</v>
      </c>
      <c r="L44" t="s">
        <v>1357</v>
      </c>
      <c r="M44" t="s">
        <v>1357</v>
      </c>
      <c r="N44" t="s">
        <v>1309</v>
      </c>
      <c r="S44" t="s">
        <v>1358</v>
      </c>
      <c r="T44" t="str">
        <f>CONCATENATE(Table1[[#This Row],[Name]]," ",Table1[[#This Row],[Surname/Studio Name/Artistic Name]])</f>
        <v>Zahrah AlGhamdi</v>
      </c>
    </row>
    <row r="45" spans="1:20" x14ac:dyDescent="0.35">
      <c r="A45">
        <v>44</v>
      </c>
      <c r="B45" t="s">
        <v>105</v>
      </c>
      <c r="C45" t="s">
        <v>106</v>
      </c>
      <c r="D45" t="s">
        <v>29</v>
      </c>
      <c r="E45" t="s">
        <v>1916</v>
      </c>
      <c r="F45" t="s">
        <v>20</v>
      </c>
      <c r="G45" t="s">
        <v>1916</v>
      </c>
      <c r="H45" t="s">
        <v>26</v>
      </c>
      <c r="I45" t="s">
        <v>22</v>
      </c>
      <c r="J45">
        <v>1962</v>
      </c>
      <c r="K45">
        <f>2026-Table1[[#This Row],[Birthyear]]</f>
        <v>64</v>
      </c>
      <c r="L45" t="s">
        <v>1290</v>
      </c>
      <c r="M45" t="s">
        <v>1290</v>
      </c>
      <c r="N45" t="s">
        <v>1291</v>
      </c>
      <c r="S45" t="s">
        <v>1359</v>
      </c>
      <c r="T45" t="str">
        <f>CONCATENATE(Table1[[#This Row],[Name]]," ",Table1[[#This Row],[Surname/Studio Name/Artistic Name]])</f>
        <v>Khalid AlGhannam</v>
      </c>
    </row>
    <row r="46" spans="1:20" x14ac:dyDescent="0.35">
      <c r="A46">
        <v>45</v>
      </c>
      <c r="B46" t="s">
        <v>107</v>
      </c>
      <c r="C46" t="s">
        <v>108</v>
      </c>
      <c r="D46" t="s">
        <v>29</v>
      </c>
      <c r="E46" t="s">
        <v>1916</v>
      </c>
      <c r="F46" t="s">
        <v>20</v>
      </c>
      <c r="G46" t="s">
        <v>1916</v>
      </c>
      <c r="H46" t="s">
        <v>21</v>
      </c>
      <c r="I46" t="s">
        <v>22</v>
      </c>
      <c r="J46">
        <v>1995</v>
      </c>
      <c r="K46">
        <f>2026-Table1[[#This Row],[Birthyear]]</f>
        <v>31</v>
      </c>
      <c r="L46" t="s">
        <v>1900</v>
      </c>
      <c r="M46" t="s">
        <v>1317</v>
      </c>
      <c r="N46" t="s">
        <v>1296</v>
      </c>
      <c r="O46" t="s">
        <v>1360</v>
      </c>
      <c r="P46">
        <v>2023</v>
      </c>
      <c r="Q46" t="s">
        <v>1302</v>
      </c>
      <c r="R46" t="s">
        <v>1340</v>
      </c>
      <c r="S46" t="s">
        <v>1341</v>
      </c>
      <c r="T46" t="str">
        <f>CONCATENATE(Table1[[#This Row],[Name]]," ",Table1[[#This Row],[Surname/Studio Name/Artistic Name]])</f>
        <v>Madhawi AlGwaiz​</v>
      </c>
    </row>
    <row r="47" spans="1:20" x14ac:dyDescent="0.35">
      <c r="A47">
        <v>46</v>
      </c>
      <c r="B47" t="s">
        <v>109</v>
      </c>
      <c r="C47" t="s">
        <v>102</v>
      </c>
      <c r="D47" t="s">
        <v>110</v>
      </c>
      <c r="E47" t="s">
        <v>1916</v>
      </c>
      <c r="F47" t="s">
        <v>20</v>
      </c>
      <c r="G47" t="s">
        <v>1916</v>
      </c>
      <c r="H47" t="s">
        <v>26</v>
      </c>
      <c r="J47">
        <v>1982</v>
      </c>
      <c r="K47">
        <f>2026-Table1[[#This Row],[Birthyear]]</f>
        <v>44</v>
      </c>
      <c r="L47" t="s">
        <v>1914</v>
      </c>
      <c r="M47" t="s">
        <v>1361</v>
      </c>
      <c r="N47" t="s">
        <v>1296</v>
      </c>
      <c r="O47" t="s">
        <v>1362</v>
      </c>
      <c r="P47">
        <v>2024</v>
      </c>
      <c r="Q47" t="s">
        <v>1344</v>
      </c>
      <c r="R47" t="s">
        <v>1363</v>
      </c>
      <c r="T47" t="str">
        <f>CONCATENATE(Table1[[#This Row],[Name]]," ",Table1[[#This Row],[Surname/Studio Name/Artistic Name]])</f>
        <v>Fahad Alhajeri</v>
      </c>
    </row>
    <row r="48" spans="1:20" x14ac:dyDescent="0.35">
      <c r="A48">
        <v>47</v>
      </c>
      <c r="B48" t="s">
        <v>111</v>
      </c>
      <c r="C48" t="s">
        <v>112</v>
      </c>
      <c r="D48" t="s">
        <v>29</v>
      </c>
      <c r="E48" t="s">
        <v>1916</v>
      </c>
      <c r="F48" t="s">
        <v>20</v>
      </c>
      <c r="G48" t="s">
        <v>1916</v>
      </c>
      <c r="H48" t="s">
        <v>21</v>
      </c>
      <c r="J48">
        <v>1984</v>
      </c>
      <c r="K48">
        <f>2026-Table1[[#This Row],[Birthyear]]</f>
        <v>42</v>
      </c>
      <c r="L48" t="s">
        <v>1315</v>
      </c>
      <c r="M48" t="s">
        <v>1315</v>
      </c>
      <c r="N48" t="s">
        <v>1327</v>
      </c>
      <c r="S48" t="s">
        <v>1364</v>
      </c>
      <c r="T48" t="str">
        <f>CONCATENATE(Table1[[#This Row],[Name]]," ",Table1[[#This Row],[Surname/Studio Name/Artistic Name]])</f>
        <v>Lamia Alhakbani</v>
      </c>
    </row>
    <row r="49" spans="1:20" x14ac:dyDescent="0.35">
      <c r="A49">
        <v>48</v>
      </c>
      <c r="B49" t="s">
        <v>113</v>
      </c>
      <c r="C49" t="s">
        <v>100</v>
      </c>
      <c r="D49" t="s">
        <v>29</v>
      </c>
      <c r="E49" t="s">
        <v>1916</v>
      </c>
      <c r="F49" t="s">
        <v>20</v>
      </c>
      <c r="G49" t="s">
        <v>1916</v>
      </c>
      <c r="H49" t="s">
        <v>26</v>
      </c>
      <c r="J49">
        <v>1993</v>
      </c>
      <c r="K49">
        <f>2026-Table1[[#This Row],[Birthyear]]</f>
        <v>33</v>
      </c>
      <c r="L49" t="s">
        <v>1900</v>
      </c>
      <c r="M49" t="s">
        <v>1300</v>
      </c>
      <c r="N49" t="s">
        <v>1296</v>
      </c>
      <c r="O49" t="s">
        <v>1365</v>
      </c>
      <c r="P49">
        <v>2022</v>
      </c>
      <c r="Q49" t="s">
        <v>1334</v>
      </c>
      <c r="R49" t="s">
        <v>1366</v>
      </c>
      <c r="S49" t="s">
        <v>1304</v>
      </c>
      <c r="T49" t="str">
        <f>CONCATENATE(Table1[[#This Row],[Name]]," ",Table1[[#This Row],[Surname/Studio Name/Artistic Name]])</f>
        <v>Mohammed AlHamdan "Warchieff"</v>
      </c>
    </row>
    <row r="50" spans="1:20" x14ac:dyDescent="0.35">
      <c r="A50">
        <v>49</v>
      </c>
      <c r="B50" t="s">
        <v>114</v>
      </c>
      <c r="C50" t="s">
        <v>115</v>
      </c>
      <c r="D50" t="s">
        <v>29</v>
      </c>
      <c r="E50" t="s">
        <v>1916</v>
      </c>
      <c r="F50" t="s">
        <v>20</v>
      </c>
      <c r="G50" t="s">
        <v>1916</v>
      </c>
      <c r="H50" t="s">
        <v>26</v>
      </c>
      <c r="J50">
        <v>1986</v>
      </c>
      <c r="K50">
        <f>2026-Table1[[#This Row],[Birthyear]]</f>
        <v>40</v>
      </c>
      <c r="L50" t="s">
        <v>1914</v>
      </c>
      <c r="M50" t="s">
        <v>1342</v>
      </c>
      <c r="N50" t="s">
        <v>1296</v>
      </c>
      <c r="O50" t="s">
        <v>1367</v>
      </c>
      <c r="P50">
        <v>2025</v>
      </c>
      <c r="Q50" t="s">
        <v>1344</v>
      </c>
      <c r="T50" t="str">
        <f>CONCATENATE(Table1[[#This Row],[Name]]," ",Table1[[#This Row],[Surname/Studio Name/Artistic Name]])</f>
        <v>Ali Alhamoud</v>
      </c>
    </row>
    <row r="51" spans="1:20" x14ac:dyDescent="0.35">
      <c r="A51">
        <v>50</v>
      </c>
      <c r="B51" t="s">
        <v>116</v>
      </c>
      <c r="C51" t="s">
        <v>117</v>
      </c>
      <c r="D51" t="s">
        <v>29</v>
      </c>
      <c r="E51" t="s">
        <v>1916</v>
      </c>
      <c r="F51" t="s">
        <v>20</v>
      </c>
      <c r="G51" t="s">
        <v>1916</v>
      </c>
      <c r="H51" t="s">
        <v>21</v>
      </c>
      <c r="J51">
        <v>1995</v>
      </c>
      <c r="K51">
        <f>2026-Table1[[#This Row],[Birthyear]]</f>
        <v>31</v>
      </c>
      <c r="L51" t="s">
        <v>1900</v>
      </c>
      <c r="M51" t="s">
        <v>1322</v>
      </c>
      <c r="N51" t="s">
        <v>1296</v>
      </c>
      <c r="O51" t="s">
        <v>1368</v>
      </c>
      <c r="P51">
        <v>2024</v>
      </c>
      <c r="Q51" t="s">
        <v>1350</v>
      </c>
      <c r="R51" t="s">
        <v>1299</v>
      </c>
      <c r="T51" t="str">
        <f>CONCATENATE(Table1[[#This Row],[Name]]," ",Table1[[#This Row],[Surname/Studio Name/Artistic Name]])</f>
        <v>Athar Alharbi</v>
      </c>
    </row>
    <row r="52" spans="1:20" x14ac:dyDescent="0.35">
      <c r="A52">
        <v>51</v>
      </c>
      <c r="B52" t="s">
        <v>118</v>
      </c>
      <c r="C52" t="s">
        <v>119</v>
      </c>
      <c r="D52" t="s">
        <v>1892</v>
      </c>
      <c r="E52" t="s">
        <v>1916</v>
      </c>
      <c r="F52" t="s">
        <v>25</v>
      </c>
      <c r="G52" t="s">
        <v>1916</v>
      </c>
      <c r="H52" t="s">
        <v>21</v>
      </c>
      <c r="I52" t="s">
        <v>22</v>
      </c>
      <c r="J52">
        <v>1986</v>
      </c>
      <c r="K52">
        <f>2026-Table1[[#This Row],[Birthyear]]</f>
        <v>40</v>
      </c>
      <c r="L52" t="s">
        <v>1293</v>
      </c>
      <c r="M52" t="s">
        <v>1293</v>
      </c>
      <c r="N52" t="s">
        <v>1294</v>
      </c>
      <c r="T52" t="str">
        <f>CONCATENATE(Table1[[#This Row],[Name]]," ",Table1[[#This Row],[Surname/Studio Name/Artistic Name]])</f>
        <v>Zeinab AlHashemi</v>
      </c>
    </row>
    <row r="53" spans="1:20" x14ac:dyDescent="0.35">
      <c r="A53">
        <v>52</v>
      </c>
      <c r="B53" t="s">
        <v>120</v>
      </c>
      <c r="C53" t="s">
        <v>121</v>
      </c>
      <c r="D53" t="s">
        <v>1897</v>
      </c>
      <c r="E53" t="s">
        <v>1916</v>
      </c>
      <c r="F53" t="s">
        <v>20</v>
      </c>
      <c r="G53" t="s">
        <v>1916</v>
      </c>
      <c r="H53" t="s">
        <v>26</v>
      </c>
      <c r="J53">
        <v>1966</v>
      </c>
      <c r="K53">
        <f>2026-Table1[[#This Row],[Birthyear]]</f>
        <v>60</v>
      </c>
      <c r="L53" t="s">
        <v>1914</v>
      </c>
      <c r="M53" t="s">
        <v>1342</v>
      </c>
      <c r="N53" t="s">
        <v>1296</v>
      </c>
      <c r="O53" t="s">
        <v>1369</v>
      </c>
      <c r="P53">
        <v>2025</v>
      </c>
      <c r="Q53" t="s">
        <v>1344</v>
      </c>
      <c r="T53" t="str">
        <f>CONCATENATE(Table1[[#This Row],[Name]]," ",Table1[[#This Row],[Surname/Studio Name/Artistic Name]])</f>
        <v>Obai AlHattoom</v>
      </c>
    </row>
    <row r="54" spans="1:20" x14ac:dyDescent="0.35">
      <c r="A54">
        <v>53</v>
      </c>
      <c r="B54" t="s">
        <v>122</v>
      </c>
      <c r="C54" t="s">
        <v>123</v>
      </c>
      <c r="D54" t="s">
        <v>29</v>
      </c>
      <c r="E54" t="s">
        <v>1916</v>
      </c>
      <c r="F54" t="s">
        <v>20</v>
      </c>
      <c r="G54" t="s">
        <v>1916</v>
      </c>
      <c r="H54" t="s">
        <v>21</v>
      </c>
      <c r="I54" t="s">
        <v>22</v>
      </c>
      <c r="J54">
        <v>1967</v>
      </c>
      <c r="K54">
        <f>2026-Table1[[#This Row],[Birthyear]]</f>
        <v>59</v>
      </c>
      <c r="L54" t="s">
        <v>1900</v>
      </c>
      <c r="M54" t="s">
        <v>1310</v>
      </c>
      <c r="N54" t="s">
        <v>1296</v>
      </c>
      <c r="O54" t="s">
        <v>1370</v>
      </c>
      <c r="P54">
        <v>2021</v>
      </c>
      <c r="Q54" t="s">
        <v>1371</v>
      </c>
      <c r="R54" t="s">
        <v>1372</v>
      </c>
      <c r="S54" t="s">
        <v>1373</v>
      </c>
      <c r="T54" t="str">
        <f>CONCATENATE(Table1[[#This Row],[Name]]," ",Table1[[#This Row],[Surname/Studio Name/Artistic Name]])</f>
        <v>Lulwah AlHomoud</v>
      </c>
    </row>
    <row r="55" spans="1:20" x14ac:dyDescent="0.35">
      <c r="A55">
        <v>54</v>
      </c>
      <c r="B55" t="s">
        <v>124</v>
      </c>
      <c r="C55" t="s">
        <v>125</v>
      </c>
      <c r="D55" t="s">
        <v>29</v>
      </c>
      <c r="E55" t="s">
        <v>1916</v>
      </c>
      <c r="F55" t="s">
        <v>25</v>
      </c>
      <c r="G55" t="s">
        <v>1916</v>
      </c>
      <c r="H55" t="s">
        <v>26</v>
      </c>
      <c r="I55" t="s">
        <v>22</v>
      </c>
      <c r="J55">
        <v>1975</v>
      </c>
      <c r="K55">
        <f>2026-Table1[[#This Row],[Birthyear]]</f>
        <v>51</v>
      </c>
      <c r="L55" t="s">
        <v>1293</v>
      </c>
      <c r="M55" t="s">
        <v>1293</v>
      </c>
      <c r="N55" t="s">
        <v>1294</v>
      </c>
      <c r="T55" t="str">
        <f>CONCATENATE(Table1[[#This Row],[Name]]," ",Table1[[#This Row],[Surname/Studio Name/Artistic Name]])</f>
        <v>Saad AlHowede</v>
      </c>
    </row>
    <row r="56" spans="1:20" x14ac:dyDescent="0.35">
      <c r="A56">
        <v>55</v>
      </c>
      <c r="B56" t="s">
        <v>115</v>
      </c>
      <c r="C56" t="s">
        <v>126</v>
      </c>
      <c r="D56" t="s">
        <v>44</v>
      </c>
      <c r="E56" t="s">
        <v>1916</v>
      </c>
      <c r="F56" t="s">
        <v>20</v>
      </c>
      <c r="G56" t="s">
        <v>1916</v>
      </c>
      <c r="H56" t="s">
        <v>21</v>
      </c>
      <c r="J56">
        <v>1974</v>
      </c>
      <c r="K56">
        <f>2026-Table1[[#This Row],[Birthyear]]</f>
        <v>52</v>
      </c>
      <c r="L56" t="s">
        <v>1290</v>
      </c>
      <c r="M56" t="s">
        <v>1290</v>
      </c>
      <c r="N56" t="s">
        <v>1294</v>
      </c>
      <c r="S56" t="s">
        <v>1374</v>
      </c>
      <c r="T56" t="str">
        <f>CONCATENATE(Table1[[#This Row],[Name]]," ",Table1[[#This Row],[Surname/Studio Name/Artistic Name]])</f>
        <v>Shua'a Ali</v>
      </c>
    </row>
    <row r="57" spans="1:20" x14ac:dyDescent="0.35">
      <c r="A57">
        <v>56</v>
      </c>
      <c r="B57" t="s">
        <v>127</v>
      </c>
      <c r="C57" t="s">
        <v>128</v>
      </c>
      <c r="D57" t="s">
        <v>1902</v>
      </c>
      <c r="E57" t="s">
        <v>1916</v>
      </c>
      <c r="F57" t="s">
        <v>20</v>
      </c>
      <c r="G57" t="s">
        <v>1916</v>
      </c>
      <c r="H57" t="s">
        <v>26</v>
      </c>
      <c r="I57" t="s">
        <v>22</v>
      </c>
      <c r="J57">
        <v>1976</v>
      </c>
      <c r="K57">
        <f>2026-Table1[[#This Row],[Birthyear]]</f>
        <v>50</v>
      </c>
      <c r="L57" t="s">
        <v>1315</v>
      </c>
      <c r="M57" t="s">
        <v>1315</v>
      </c>
      <c r="N57" t="s">
        <v>1296</v>
      </c>
      <c r="O57" t="s">
        <v>1375</v>
      </c>
      <c r="Q57" t="s">
        <v>1376</v>
      </c>
      <c r="S57" t="s">
        <v>1377</v>
      </c>
      <c r="T57" t="str">
        <f>CONCATENATE(Table1[[#This Row],[Name]]," ",Table1[[#This Row],[Surname/Studio Name/Artistic Name]])</f>
        <v>Mehmet Ali Uysal</v>
      </c>
    </row>
    <row r="58" spans="1:20" x14ac:dyDescent="0.35">
      <c r="A58">
        <v>57</v>
      </c>
      <c r="B58" t="s">
        <v>129</v>
      </c>
      <c r="C58" t="s">
        <v>115</v>
      </c>
      <c r="D58" t="s">
        <v>130</v>
      </c>
      <c r="E58" t="s">
        <v>1916</v>
      </c>
      <c r="F58" t="s">
        <v>20</v>
      </c>
      <c r="G58" t="s">
        <v>1916</v>
      </c>
      <c r="H58" t="s">
        <v>26</v>
      </c>
      <c r="J58">
        <v>1980</v>
      </c>
      <c r="K58">
        <f>2026-Table1[[#This Row],[Birthyear]]</f>
        <v>46</v>
      </c>
      <c r="L58" t="s">
        <v>1914</v>
      </c>
      <c r="M58" t="s">
        <v>1345</v>
      </c>
      <c r="N58" t="s">
        <v>1296</v>
      </c>
      <c r="O58" t="s">
        <v>1378</v>
      </c>
      <c r="P58">
        <v>2021</v>
      </c>
      <c r="Q58" t="s">
        <v>1344</v>
      </c>
      <c r="R58" t="s">
        <v>1299</v>
      </c>
      <c r="T58" t="str">
        <f>CONCATENATE(Table1[[#This Row],[Name]]," ",Table1[[#This Row],[Surname/Studio Name/Artistic Name]])</f>
        <v>Ali Aljabri</v>
      </c>
    </row>
    <row r="59" spans="1:20" x14ac:dyDescent="0.35">
      <c r="A59">
        <v>58</v>
      </c>
      <c r="B59" t="s">
        <v>131</v>
      </c>
      <c r="C59" t="s">
        <v>75</v>
      </c>
      <c r="D59" t="s">
        <v>29</v>
      </c>
      <c r="E59" t="s">
        <v>1916</v>
      </c>
      <c r="F59" t="s">
        <v>20</v>
      </c>
      <c r="G59" t="s">
        <v>1916</v>
      </c>
      <c r="H59" t="s">
        <v>26</v>
      </c>
      <c r="J59">
        <v>1990</v>
      </c>
      <c r="K59">
        <f>2026-Table1[[#This Row],[Birthyear]]</f>
        <v>36</v>
      </c>
      <c r="L59" t="s">
        <v>1290</v>
      </c>
      <c r="M59" t="s">
        <v>1290</v>
      </c>
      <c r="N59" t="s">
        <v>1337</v>
      </c>
      <c r="S59" t="s">
        <v>1338</v>
      </c>
      <c r="T59" t="str">
        <f>CONCATENATE(Table1[[#This Row],[Name]]," ",Table1[[#This Row],[Surname/Studio Name/Artistic Name]])</f>
        <v>Abdullah AlJahdhami (Shaweesh)</v>
      </c>
    </row>
    <row r="60" spans="1:20" x14ac:dyDescent="0.35">
      <c r="A60">
        <v>59</v>
      </c>
      <c r="B60" t="s">
        <v>132</v>
      </c>
      <c r="C60" t="s">
        <v>102</v>
      </c>
      <c r="D60" t="s">
        <v>29</v>
      </c>
      <c r="E60" t="s">
        <v>1916</v>
      </c>
      <c r="F60" t="s">
        <v>20</v>
      </c>
      <c r="G60" t="s">
        <v>1916</v>
      </c>
      <c r="H60" t="s">
        <v>26</v>
      </c>
      <c r="J60">
        <v>1977</v>
      </c>
      <c r="K60">
        <f>2026-Table1[[#This Row],[Birthyear]]</f>
        <v>49</v>
      </c>
      <c r="L60" t="s">
        <v>1914</v>
      </c>
      <c r="M60" t="s">
        <v>1326</v>
      </c>
      <c r="N60" t="s">
        <v>1296</v>
      </c>
      <c r="O60" t="s">
        <v>1379</v>
      </c>
      <c r="P60">
        <v>2023</v>
      </c>
      <c r="Q60" t="s">
        <v>1344</v>
      </c>
      <c r="T60" t="str">
        <f>CONCATENATE(Table1[[#This Row],[Name]]," ",Table1[[#This Row],[Surname/Studio Name/Artistic Name]])</f>
        <v>Fahad AlJebreen</v>
      </c>
    </row>
    <row r="61" spans="1:20" x14ac:dyDescent="0.35">
      <c r="A61">
        <v>60</v>
      </c>
      <c r="B61" t="s">
        <v>133</v>
      </c>
      <c r="C61" t="s">
        <v>134</v>
      </c>
      <c r="D61" t="s">
        <v>29</v>
      </c>
      <c r="E61" t="s">
        <v>1916</v>
      </c>
      <c r="F61" t="s">
        <v>20</v>
      </c>
      <c r="G61" t="s">
        <v>1916</v>
      </c>
      <c r="H61" t="s">
        <v>26</v>
      </c>
      <c r="J61">
        <v>1991</v>
      </c>
      <c r="K61">
        <f>2026-Table1[[#This Row],[Birthyear]]</f>
        <v>35</v>
      </c>
      <c r="L61" t="s">
        <v>1315</v>
      </c>
      <c r="M61" t="s">
        <v>1315</v>
      </c>
      <c r="N61" t="s">
        <v>1327</v>
      </c>
      <c r="S61" t="s">
        <v>1336</v>
      </c>
      <c r="T61" t="str">
        <f>CONCATENATE(Table1[[#This Row],[Name]]," ",Table1[[#This Row],[Surname/Studio Name/Artistic Name]])</f>
        <v>Obadah Yahya Aljefri</v>
      </c>
    </row>
    <row r="62" spans="1:20" x14ac:dyDescent="0.35">
      <c r="A62">
        <v>61</v>
      </c>
      <c r="B62" t="s">
        <v>135</v>
      </c>
      <c r="C62" t="s">
        <v>136</v>
      </c>
      <c r="D62" t="s">
        <v>29</v>
      </c>
      <c r="E62" t="s">
        <v>1916</v>
      </c>
      <c r="F62" t="s">
        <v>20</v>
      </c>
      <c r="G62" t="s">
        <v>1916</v>
      </c>
      <c r="H62" t="s">
        <v>21</v>
      </c>
      <c r="J62">
        <v>1988</v>
      </c>
      <c r="K62">
        <f>2026-Table1[[#This Row],[Birthyear]]</f>
        <v>38</v>
      </c>
      <c r="L62" t="s">
        <v>1900</v>
      </c>
      <c r="M62" t="s">
        <v>1322</v>
      </c>
      <c r="N62" t="s">
        <v>1296</v>
      </c>
      <c r="O62" t="s">
        <v>1380</v>
      </c>
      <c r="P62">
        <v>2024</v>
      </c>
      <c r="Q62" t="s">
        <v>1298</v>
      </c>
      <c r="R62" t="s">
        <v>1312</v>
      </c>
      <c r="T62" t="str">
        <f>CONCATENATE(Table1[[#This Row],[Name]]," ",Table1[[#This Row],[Surname/Studio Name/Artistic Name]])</f>
        <v>Asmaa Aljohani</v>
      </c>
    </row>
    <row r="63" spans="1:20" x14ac:dyDescent="0.35">
      <c r="A63">
        <v>62</v>
      </c>
      <c r="B63" t="s">
        <v>137</v>
      </c>
      <c r="C63" t="s">
        <v>138</v>
      </c>
      <c r="D63" t="s">
        <v>1892</v>
      </c>
      <c r="E63" t="s">
        <v>1916</v>
      </c>
      <c r="F63" t="s">
        <v>20</v>
      </c>
      <c r="G63" t="s">
        <v>1916</v>
      </c>
      <c r="H63" t="s">
        <v>26</v>
      </c>
      <c r="J63">
        <v>1986</v>
      </c>
      <c r="K63">
        <f>2026-Table1[[#This Row],[Birthyear]]</f>
        <v>40</v>
      </c>
      <c r="L63" t="s">
        <v>1900</v>
      </c>
      <c r="M63" t="s">
        <v>1322</v>
      </c>
      <c r="N63" t="s">
        <v>1296</v>
      </c>
      <c r="O63" t="s">
        <v>1381</v>
      </c>
      <c r="P63">
        <v>2024</v>
      </c>
      <c r="Q63" t="s">
        <v>1348</v>
      </c>
      <c r="R63" t="s">
        <v>1382</v>
      </c>
      <c r="T63" t="str">
        <f>CONCATENATE(Table1[[#This Row],[Name]]," ",Table1[[#This Row],[Surname/Studio Name/Artistic Name]])</f>
        <v>Hashel AlLamki</v>
      </c>
    </row>
    <row r="64" spans="1:20" x14ac:dyDescent="0.35">
      <c r="A64">
        <v>63</v>
      </c>
      <c r="B64" t="s">
        <v>139</v>
      </c>
      <c r="C64" t="s">
        <v>102</v>
      </c>
      <c r="D64" t="s">
        <v>1892</v>
      </c>
      <c r="E64" t="s">
        <v>1916</v>
      </c>
      <c r="F64" t="s">
        <v>20</v>
      </c>
      <c r="G64" t="s">
        <v>1916</v>
      </c>
      <c r="H64" t="s">
        <v>26</v>
      </c>
      <c r="I64" t="s">
        <v>22</v>
      </c>
      <c r="J64">
        <v>1982</v>
      </c>
      <c r="K64">
        <f>2026-Table1[[#This Row],[Birthyear]]</f>
        <v>44</v>
      </c>
      <c r="L64" t="s">
        <v>1290</v>
      </c>
      <c r="M64" t="s">
        <v>1290</v>
      </c>
      <c r="N64" t="s">
        <v>1291</v>
      </c>
      <c r="S64" t="s">
        <v>1383</v>
      </c>
      <c r="T64" t="str">
        <f>CONCATENATE(Table1[[#This Row],[Name]]," ",Table1[[#This Row],[Surname/Studio Name/Artistic Name]])</f>
        <v>Fahad AlMajhadi </v>
      </c>
    </row>
    <row r="65" spans="1:20" x14ac:dyDescent="0.35">
      <c r="A65">
        <v>64</v>
      </c>
      <c r="B65" t="s">
        <v>140</v>
      </c>
      <c r="C65" t="s">
        <v>115</v>
      </c>
      <c r="D65" t="s">
        <v>1892</v>
      </c>
      <c r="E65" t="s">
        <v>1916</v>
      </c>
      <c r="F65" t="s">
        <v>20</v>
      </c>
      <c r="G65" t="s">
        <v>1916</v>
      </c>
      <c r="H65" t="s">
        <v>26</v>
      </c>
      <c r="J65">
        <v>1980</v>
      </c>
      <c r="K65">
        <f>2026-Table1[[#This Row],[Birthyear]]</f>
        <v>46</v>
      </c>
      <c r="L65" t="s">
        <v>1914</v>
      </c>
      <c r="M65" t="s">
        <v>1342</v>
      </c>
      <c r="N65" t="s">
        <v>1296</v>
      </c>
      <c r="O65" t="s">
        <v>1384</v>
      </c>
      <c r="P65">
        <v>2025</v>
      </c>
      <c r="Q65" t="s">
        <v>1344</v>
      </c>
      <c r="T65" t="str">
        <f>CONCATENATE(Table1[[#This Row],[Name]]," ",Table1[[#This Row],[Surname/Studio Name/Artistic Name]])</f>
        <v>Ali AlMalky</v>
      </c>
    </row>
    <row r="66" spans="1:20" x14ac:dyDescent="0.35">
      <c r="A66">
        <v>65</v>
      </c>
      <c r="B66" t="s">
        <v>141</v>
      </c>
      <c r="C66" t="s">
        <v>142</v>
      </c>
      <c r="D66" t="s">
        <v>1892</v>
      </c>
      <c r="E66" t="s">
        <v>1916</v>
      </c>
      <c r="F66" t="s">
        <v>25</v>
      </c>
      <c r="G66" t="s">
        <v>1916</v>
      </c>
      <c r="H66" t="s">
        <v>21</v>
      </c>
      <c r="J66">
        <v>1981</v>
      </c>
      <c r="K66">
        <f>2026-Table1[[#This Row],[Birthyear]]</f>
        <v>45</v>
      </c>
      <c r="L66" t="s">
        <v>1293</v>
      </c>
      <c r="M66" t="s">
        <v>1293</v>
      </c>
      <c r="N66" t="s">
        <v>1294</v>
      </c>
      <c r="T66" t="str">
        <f>CONCATENATE(Table1[[#This Row],[Name]]," ",Table1[[#This Row],[Surname/Studio Name/Artistic Name]])</f>
        <v>Nora AlMazrooa</v>
      </c>
    </row>
    <row r="67" spans="1:20" x14ac:dyDescent="0.35">
      <c r="A67">
        <v>66</v>
      </c>
      <c r="B67" t="s">
        <v>143</v>
      </c>
      <c r="C67" t="s">
        <v>144</v>
      </c>
      <c r="D67" t="s">
        <v>1892</v>
      </c>
      <c r="E67" t="s">
        <v>1916</v>
      </c>
      <c r="F67" t="s">
        <v>25</v>
      </c>
      <c r="G67" t="s">
        <v>1916</v>
      </c>
      <c r="H67" t="s">
        <v>21</v>
      </c>
      <c r="J67">
        <v>1988</v>
      </c>
      <c r="K67">
        <f>2026-Table1[[#This Row],[Birthyear]]</f>
        <v>38</v>
      </c>
      <c r="L67" t="s">
        <v>1293</v>
      </c>
      <c r="M67" t="s">
        <v>1293</v>
      </c>
      <c r="N67" t="s">
        <v>1294</v>
      </c>
      <c r="T67" t="str">
        <f>CONCATENATE(Table1[[#This Row],[Name]]," ",Table1[[#This Row],[Surname/Studio Name/Artistic Name]])</f>
        <v>Shaikha AlMazrou</v>
      </c>
    </row>
    <row r="68" spans="1:20" x14ac:dyDescent="0.35">
      <c r="A68">
        <v>67</v>
      </c>
      <c r="B68" t="s">
        <v>145</v>
      </c>
      <c r="C68" t="s">
        <v>146</v>
      </c>
      <c r="D68" t="s">
        <v>1892</v>
      </c>
      <c r="E68" t="s">
        <v>1916</v>
      </c>
      <c r="F68" t="s">
        <v>20</v>
      </c>
      <c r="G68" t="s">
        <v>1916</v>
      </c>
      <c r="H68" t="s">
        <v>21</v>
      </c>
      <c r="I68" t="s">
        <v>22</v>
      </c>
      <c r="J68">
        <v>1996</v>
      </c>
      <c r="K68">
        <f>2026-Table1[[#This Row],[Birthyear]]</f>
        <v>30</v>
      </c>
      <c r="L68" t="s">
        <v>1900</v>
      </c>
      <c r="M68" t="s">
        <v>1317</v>
      </c>
      <c r="N68" t="s">
        <v>1296</v>
      </c>
      <c r="O68" t="s">
        <v>1385</v>
      </c>
      <c r="P68">
        <v>2023</v>
      </c>
      <c r="Q68" t="s">
        <v>1298</v>
      </c>
      <c r="R68" t="s">
        <v>1340</v>
      </c>
      <c r="S68" t="s">
        <v>1341</v>
      </c>
      <c r="T68" t="str">
        <f>CONCATENATE(Table1[[#This Row],[Name]]," ",Table1[[#This Row],[Surname/Studio Name/Artistic Name]])</f>
        <v>Hana Almilli​</v>
      </c>
    </row>
    <row r="69" spans="1:20" x14ac:dyDescent="0.35">
      <c r="A69">
        <v>68</v>
      </c>
      <c r="B69" t="s">
        <v>147</v>
      </c>
      <c r="C69" t="s">
        <v>148</v>
      </c>
      <c r="D69" t="s">
        <v>1892</v>
      </c>
      <c r="E69" t="s">
        <v>1916</v>
      </c>
      <c r="F69" t="s">
        <v>25</v>
      </c>
      <c r="G69" t="s">
        <v>1916</v>
      </c>
      <c r="H69" t="s">
        <v>26</v>
      </c>
      <c r="J69">
        <v>1971</v>
      </c>
      <c r="K69">
        <f>2026-Table1[[#This Row],[Birthyear]]</f>
        <v>55</v>
      </c>
      <c r="L69" t="s">
        <v>1290</v>
      </c>
      <c r="M69" t="s">
        <v>1290</v>
      </c>
      <c r="N69" t="s">
        <v>1291</v>
      </c>
      <c r="S69" t="s">
        <v>1321</v>
      </c>
      <c r="T69" t="str">
        <f>CONCATENATE(Table1[[#This Row],[Name]]," ",Table1[[#This Row],[Surname/Studio Name/Artistic Name]])</f>
        <v>Darren Almond</v>
      </c>
    </row>
    <row r="70" spans="1:20" x14ac:dyDescent="0.35">
      <c r="A70">
        <v>69</v>
      </c>
      <c r="B70" t="s">
        <v>149</v>
      </c>
      <c r="C70" t="s">
        <v>100</v>
      </c>
      <c r="D70" t="s">
        <v>1892</v>
      </c>
      <c r="E70" t="s">
        <v>1916</v>
      </c>
      <c r="F70" t="s">
        <v>20</v>
      </c>
      <c r="G70" t="s">
        <v>1916</v>
      </c>
      <c r="H70" t="s">
        <v>26</v>
      </c>
      <c r="I70" t="s">
        <v>22</v>
      </c>
      <c r="J70">
        <v>1952</v>
      </c>
      <c r="K70">
        <f>2026-Table1[[#This Row],[Birthyear]]</f>
        <v>74</v>
      </c>
      <c r="L70" t="s">
        <v>1290</v>
      </c>
      <c r="M70" t="s">
        <v>1290</v>
      </c>
      <c r="N70" t="s">
        <v>1291</v>
      </c>
      <c r="S70" t="s">
        <v>1359</v>
      </c>
      <c r="T70" t="str">
        <f>CONCATENATE(Table1[[#This Row],[Name]]," ",Table1[[#This Row],[Surname/Studio Name/Artistic Name]])</f>
        <v>Mohammed AlMonif</v>
      </c>
    </row>
    <row r="71" spans="1:20" x14ac:dyDescent="0.35">
      <c r="A71">
        <v>70</v>
      </c>
      <c r="B71" t="s">
        <v>150</v>
      </c>
      <c r="C71" t="s">
        <v>151</v>
      </c>
      <c r="D71" t="s">
        <v>1892</v>
      </c>
      <c r="E71" t="s">
        <v>1916</v>
      </c>
      <c r="F71" t="s">
        <v>20</v>
      </c>
      <c r="G71" t="s">
        <v>1916</v>
      </c>
      <c r="H71" t="s">
        <v>21</v>
      </c>
      <c r="I71" t="s">
        <v>22</v>
      </c>
      <c r="J71">
        <v>1981</v>
      </c>
      <c r="K71">
        <f>2026-Table1[[#This Row],[Birthyear]]</f>
        <v>45</v>
      </c>
      <c r="L71" t="s">
        <v>1357</v>
      </c>
      <c r="M71" t="s">
        <v>1357</v>
      </c>
      <c r="N71" t="s">
        <v>1291</v>
      </c>
      <c r="S71" t="s">
        <v>1386</v>
      </c>
      <c r="T71" t="str">
        <f>CONCATENATE(Table1[[#This Row],[Name]]," ",Table1[[#This Row],[Surname/Studio Name/Artistic Name]])</f>
        <v>Marwah Almugait</v>
      </c>
    </row>
    <row r="72" spans="1:20" x14ac:dyDescent="0.35">
      <c r="A72">
        <v>71</v>
      </c>
      <c r="B72" t="s">
        <v>152</v>
      </c>
      <c r="C72" t="s">
        <v>153</v>
      </c>
      <c r="D72" t="s">
        <v>1892</v>
      </c>
      <c r="E72" t="s">
        <v>1916</v>
      </c>
      <c r="F72" t="s">
        <v>25</v>
      </c>
      <c r="G72" t="s">
        <v>1916</v>
      </c>
      <c r="H72" t="s">
        <v>26</v>
      </c>
      <c r="I72" t="s">
        <v>22</v>
      </c>
      <c r="J72">
        <v>1988</v>
      </c>
      <c r="K72">
        <f>2026-Table1[[#This Row],[Birthyear]]</f>
        <v>38</v>
      </c>
      <c r="L72" t="s">
        <v>1290</v>
      </c>
      <c r="M72" t="s">
        <v>1290</v>
      </c>
      <c r="N72" t="s">
        <v>1387</v>
      </c>
      <c r="O72" t="s">
        <v>1388</v>
      </c>
      <c r="Q72" t="s">
        <v>1306</v>
      </c>
      <c r="R72" t="s">
        <v>1389</v>
      </c>
      <c r="S72" t="s">
        <v>1390</v>
      </c>
      <c r="T72" t="str">
        <f>CONCATENATE(Table1[[#This Row],[Name]]," ",Table1[[#This Row],[Surname/Studio Name/Artistic Name]])</f>
        <v>Nasser Almulhim</v>
      </c>
    </row>
    <row r="73" spans="1:20" x14ac:dyDescent="0.35">
      <c r="A73">
        <v>72</v>
      </c>
      <c r="B73" t="s">
        <v>154</v>
      </c>
      <c r="C73" t="s">
        <v>60</v>
      </c>
      <c r="D73" t="s">
        <v>1892</v>
      </c>
      <c r="E73" t="s">
        <v>1916</v>
      </c>
      <c r="F73" t="s">
        <v>20</v>
      </c>
      <c r="G73" t="s">
        <v>1916</v>
      </c>
      <c r="H73" t="s">
        <v>21</v>
      </c>
      <c r="I73" t="s">
        <v>22</v>
      </c>
      <c r="J73">
        <v>1993</v>
      </c>
      <c r="K73">
        <f>2026-Table1[[#This Row],[Birthyear]]</f>
        <v>33</v>
      </c>
      <c r="L73" t="s">
        <v>1900</v>
      </c>
      <c r="M73" t="s">
        <v>1317</v>
      </c>
      <c r="N73" t="s">
        <v>1296</v>
      </c>
      <c r="O73" t="s">
        <v>1391</v>
      </c>
      <c r="P73">
        <v>2023</v>
      </c>
      <c r="Q73" t="s">
        <v>1298</v>
      </c>
      <c r="R73" t="s">
        <v>1392</v>
      </c>
      <c r="S73" t="s">
        <v>1341</v>
      </c>
      <c r="T73" t="str">
        <f>CONCATENATE(Table1[[#This Row],[Name]]," ",Table1[[#This Row],[Surname/Studio Name/Artistic Name]])</f>
        <v>Sara Almutlaq​</v>
      </c>
    </row>
    <row r="74" spans="1:20" x14ac:dyDescent="0.35">
      <c r="A74">
        <v>73</v>
      </c>
      <c r="B74" t="s">
        <v>155</v>
      </c>
      <c r="C74" t="s">
        <v>70</v>
      </c>
      <c r="D74" t="s">
        <v>1892</v>
      </c>
      <c r="E74" t="s">
        <v>1916</v>
      </c>
      <c r="F74" t="s">
        <v>20</v>
      </c>
      <c r="G74" t="s">
        <v>1916</v>
      </c>
      <c r="H74" t="s">
        <v>21</v>
      </c>
      <c r="J74">
        <v>1986</v>
      </c>
      <c r="K74">
        <f>2026-Table1[[#This Row],[Birthyear]]</f>
        <v>40</v>
      </c>
      <c r="L74" t="s">
        <v>1900</v>
      </c>
      <c r="M74" t="s">
        <v>1317</v>
      </c>
      <c r="N74" t="s">
        <v>1296</v>
      </c>
      <c r="O74" t="s">
        <v>1393</v>
      </c>
      <c r="P74">
        <v>2023</v>
      </c>
      <c r="Q74" t="s">
        <v>1302</v>
      </c>
      <c r="R74" t="s">
        <v>1382</v>
      </c>
      <c r="S74" t="s">
        <v>1341</v>
      </c>
      <c r="T74" t="str">
        <f>CONCATENATE(Table1[[#This Row],[Name]]," ",Table1[[#This Row],[Surname/Studio Name/Artistic Name]])</f>
        <v>Huda Alnasir​</v>
      </c>
    </row>
    <row r="75" spans="1:20" x14ac:dyDescent="0.35">
      <c r="A75">
        <v>74</v>
      </c>
      <c r="B75" t="s">
        <v>156</v>
      </c>
      <c r="C75" t="s">
        <v>102</v>
      </c>
      <c r="D75" t="s">
        <v>1892</v>
      </c>
      <c r="E75" t="s">
        <v>1916</v>
      </c>
      <c r="F75" t="s">
        <v>20</v>
      </c>
      <c r="G75" t="s">
        <v>1916</v>
      </c>
      <c r="H75" t="s">
        <v>26</v>
      </c>
      <c r="I75" t="s">
        <v>22</v>
      </c>
      <c r="J75">
        <v>1978</v>
      </c>
      <c r="K75">
        <f>2026-Table1[[#This Row],[Birthyear]]</f>
        <v>48</v>
      </c>
      <c r="L75" t="s">
        <v>1900</v>
      </c>
      <c r="M75" t="s">
        <v>1322</v>
      </c>
      <c r="N75" t="s">
        <v>1296</v>
      </c>
      <c r="O75" t="s">
        <v>1394</v>
      </c>
      <c r="P75">
        <v>2024</v>
      </c>
      <c r="Q75" t="s">
        <v>1302</v>
      </c>
      <c r="R75" t="s">
        <v>1382</v>
      </c>
      <c r="T75" t="str">
        <f>CONCATENATE(Table1[[#This Row],[Name]]," ",Table1[[#This Row],[Surname/Studio Name/Artistic Name]])</f>
        <v>Fahad AlNaymah</v>
      </c>
    </row>
    <row r="76" spans="1:20" x14ac:dyDescent="0.35">
      <c r="A76">
        <v>75</v>
      </c>
      <c r="B76" t="s">
        <v>157</v>
      </c>
      <c r="C76" t="s">
        <v>158</v>
      </c>
      <c r="D76" t="s">
        <v>1892</v>
      </c>
      <c r="E76" t="s">
        <v>1916</v>
      </c>
      <c r="F76" t="s">
        <v>20</v>
      </c>
      <c r="G76" t="s">
        <v>1916</v>
      </c>
      <c r="H76" t="s">
        <v>21</v>
      </c>
      <c r="I76" t="s">
        <v>22</v>
      </c>
      <c r="J76">
        <v>1985</v>
      </c>
      <c r="K76">
        <f>2026-Table1[[#This Row],[Birthyear]]</f>
        <v>41</v>
      </c>
      <c r="L76" t="s">
        <v>1900</v>
      </c>
      <c r="M76" t="s">
        <v>1317</v>
      </c>
      <c r="N76" t="s">
        <v>1296</v>
      </c>
      <c r="O76" t="s">
        <v>1395</v>
      </c>
      <c r="P76">
        <v>2023</v>
      </c>
      <c r="Q76" t="s">
        <v>1302</v>
      </c>
      <c r="R76" t="s">
        <v>1392</v>
      </c>
      <c r="S76" t="s">
        <v>1341</v>
      </c>
      <c r="T76" t="str">
        <f>CONCATENATE(Table1[[#This Row],[Name]]," ",Table1[[#This Row],[Surname/Studio Name/Artistic Name]])</f>
        <v>Arwa AlNeami​</v>
      </c>
    </row>
    <row r="77" spans="1:20" x14ac:dyDescent="0.35">
      <c r="A77">
        <v>76</v>
      </c>
      <c r="B77" t="s">
        <v>159</v>
      </c>
      <c r="C77" t="s">
        <v>160</v>
      </c>
      <c r="D77" t="s">
        <v>1892</v>
      </c>
      <c r="E77" t="s">
        <v>1916</v>
      </c>
      <c r="F77" t="s">
        <v>20</v>
      </c>
      <c r="G77" t="s">
        <v>1916</v>
      </c>
      <c r="H77" t="s">
        <v>26</v>
      </c>
      <c r="J77">
        <v>1967</v>
      </c>
      <c r="K77">
        <f>2026-Table1[[#This Row],[Birthyear]]</f>
        <v>59</v>
      </c>
      <c r="L77" t="s">
        <v>1914</v>
      </c>
      <c r="M77" t="s">
        <v>1396</v>
      </c>
      <c r="N77" t="s">
        <v>1296</v>
      </c>
      <c r="O77" t="s">
        <v>1397</v>
      </c>
      <c r="P77">
        <v>2020</v>
      </c>
      <c r="Q77" t="s">
        <v>1344</v>
      </c>
      <c r="T77" t="str">
        <f>CONCATENATE(Table1[[#This Row],[Name]]," ",Table1[[#This Row],[Surname/Studio Name/Artistic Name]])</f>
        <v>Faisal Saleh AlNuman</v>
      </c>
    </row>
    <row r="78" spans="1:20" x14ac:dyDescent="0.35">
      <c r="A78">
        <v>77</v>
      </c>
      <c r="B78" t="s">
        <v>161</v>
      </c>
      <c r="C78" t="s">
        <v>162</v>
      </c>
      <c r="D78" t="s">
        <v>1892</v>
      </c>
      <c r="E78" t="s">
        <v>1916</v>
      </c>
      <c r="F78" t="s">
        <v>20</v>
      </c>
      <c r="G78" t="s">
        <v>1916</v>
      </c>
      <c r="H78" t="s">
        <v>26</v>
      </c>
      <c r="I78" t="s">
        <v>22</v>
      </c>
      <c r="J78">
        <v>1984</v>
      </c>
      <c r="K78">
        <f>2026-Table1[[#This Row],[Birthyear]]</f>
        <v>42</v>
      </c>
      <c r="L78" t="s">
        <v>1900</v>
      </c>
      <c r="M78" t="s">
        <v>1300</v>
      </c>
      <c r="N78" t="s">
        <v>1296</v>
      </c>
      <c r="O78" t="s">
        <v>1398</v>
      </c>
      <c r="P78">
        <v>2022</v>
      </c>
      <c r="Q78" t="s">
        <v>1298</v>
      </c>
      <c r="R78" t="s">
        <v>1312</v>
      </c>
      <c r="S78" t="s">
        <v>1399</v>
      </c>
      <c r="T78" t="str">
        <f>CONCATENATE(Table1[[#This Row],[Name]]," ",Table1[[#This Row],[Surname/Studio Name/Artistic Name]])</f>
        <v>Moath Alofi</v>
      </c>
    </row>
    <row r="79" spans="1:20" x14ac:dyDescent="0.35">
      <c r="A79">
        <v>78</v>
      </c>
      <c r="B79" t="s">
        <v>163</v>
      </c>
      <c r="C79" t="s">
        <v>75</v>
      </c>
      <c r="D79" t="s">
        <v>1892</v>
      </c>
      <c r="E79" t="s">
        <v>1916</v>
      </c>
      <c r="F79" t="s">
        <v>20</v>
      </c>
      <c r="G79" t="s">
        <v>1916</v>
      </c>
      <c r="H79" t="s">
        <v>26</v>
      </c>
      <c r="I79" t="s">
        <v>22</v>
      </c>
      <c r="J79">
        <v>1985</v>
      </c>
      <c r="K79">
        <f>2026-Table1[[#This Row],[Birthyear]]</f>
        <v>41</v>
      </c>
      <c r="L79" t="s">
        <v>1293</v>
      </c>
      <c r="M79" t="s">
        <v>1293</v>
      </c>
      <c r="N79" t="s">
        <v>1294</v>
      </c>
      <c r="T79" t="str">
        <f>CONCATENATE(Table1[[#This Row],[Name]]," ",Table1[[#This Row],[Surname/Studio Name/Artistic Name]])</f>
        <v>Abdullah AlOthman</v>
      </c>
    </row>
    <row r="80" spans="1:20" x14ac:dyDescent="0.35">
      <c r="A80">
        <v>79</v>
      </c>
      <c r="B80" t="s">
        <v>164</v>
      </c>
      <c r="C80" t="s">
        <v>165</v>
      </c>
      <c r="D80" t="s">
        <v>1892</v>
      </c>
      <c r="E80" t="s">
        <v>1916</v>
      </c>
      <c r="F80" t="s">
        <v>25</v>
      </c>
      <c r="G80" t="s">
        <v>1916</v>
      </c>
      <c r="H80" t="s">
        <v>21</v>
      </c>
      <c r="I80" t="s">
        <v>22</v>
      </c>
      <c r="J80">
        <v>1983</v>
      </c>
      <c r="K80">
        <f>2026-Table1[[#This Row],[Birthyear]]</f>
        <v>43</v>
      </c>
      <c r="L80" t="s">
        <v>1293</v>
      </c>
      <c r="M80" t="s">
        <v>1293</v>
      </c>
      <c r="N80" t="s">
        <v>1309</v>
      </c>
      <c r="T80" t="str">
        <f>CONCATENATE(Table1[[#This Row],[Name]]," ",Table1[[#This Row],[Surname/Studio Name/Artistic Name]])</f>
        <v>Monira AlQadiri</v>
      </c>
    </row>
    <row r="81" spans="1:20" x14ac:dyDescent="0.35">
      <c r="A81">
        <v>80</v>
      </c>
      <c r="B81" t="s">
        <v>166</v>
      </c>
      <c r="C81" t="s">
        <v>167</v>
      </c>
      <c r="D81" t="s">
        <v>1892</v>
      </c>
      <c r="E81" t="s">
        <v>1916</v>
      </c>
      <c r="F81" t="s">
        <v>20</v>
      </c>
      <c r="G81" t="s">
        <v>1916</v>
      </c>
      <c r="H81" t="s">
        <v>21</v>
      </c>
      <c r="J81">
        <v>1991</v>
      </c>
      <c r="K81">
        <f>2026-Table1[[#This Row],[Birthyear]]</f>
        <v>35</v>
      </c>
      <c r="L81" t="s">
        <v>1900</v>
      </c>
      <c r="M81" t="s">
        <v>1317</v>
      </c>
      <c r="N81" t="s">
        <v>1296</v>
      </c>
      <c r="O81" t="s">
        <v>1400</v>
      </c>
      <c r="P81">
        <v>2021</v>
      </c>
      <c r="Q81" t="s">
        <v>1319</v>
      </c>
      <c r="R81" t="s">
        <v>1312</v>
      </c>
      <c r="S81" t="s">
        <v>1320</v>
      </c>
      <c r="T81" t="str">
        <f>CONCATENATE(Table1[[#This Row],[Name]]," ",Table1[[#This Row],[Surname/Studio Name/Artistic Name]])</f>
        <v>Farah AlQasimi ​</v>
      </c>
    </row>
    <row r="82" spans="1:20" x14ac:dyDescent="0.35">
      <c r="A82">
        <v>81</v>
      </c>
      <c r="B82" t="s">
        <v>168</v>
      </c>
      <c r="C82" t="s">
        <v>169</v>
      </c>
      <c r="D82" t="s">
        <v>1892</v>
      </c>
      <c r="E82" t="s">
        <v>1916</v>
      </c>
      <c r="F82" t="s">
        <v>20</v>
      </c>
      <c r="G82" t="s">
        <v>1916</v>
      </c>
      <c r="H82" t="s">
        <v>21</v>
      </c>
      <c r="J82">
        <v>1981</v>
      </c>
      <c r="K82">
        <f>2026-Table1[[#This Row],[Birthyear]]</f>
        <v>45</v>
      </c>
      <c r="L82" t="s">
        <v>1900</v>
      </c>
      <c r="M82" t="s">
        <v>1322</v>
      </c>
      <c r="N82" t="s">
        <v>1296</v>
      </c>
      <c r="O82" t="s">
        <v>1401</v>
      </c>
      <c r="P82">
        <v>2024</v>
      </c>
      <c r="Q82" t="s">
        <v>1348</v>
      </c>
      <c r="R82" t="s">
        <v>1299</v>
      </c>
      <c r="T82" t="str">
        <f>CONCATENATE(Table1[[#This Row],[Name]]," ",Table1[[#This Row],[Surname/Studio Name/Artistic Name]])</f>
        <v>Najla Alqubaisi</v>
      </c>
    </row>
    <row r="83" spans="1:20" x14ac:dyDescent="0.35">
      <c r="A83">
        <v>82</v>
      </c>
      <c r="B83" t="s">
        <v>170</v>
      </c>
      <c r="C83" t="s">
        <v>171</v>
      </c>
      <c r="D83" t="s">
        <v>1892</v>
      </c>
      <c r="E83" t="s">
        <v>1916</v>
      </c>
      <c r="F83" t="s">
        <v>20</v>
      </c>
      <c r="G83" t="s">
        <v>1916</v>
      </c>
      <c r="H83" t="s">
        <v>21</v>
      </c>
      <c r="I83" t="s">
        <v>22</v>
      </c>
      <c r="J83">
        <v>1967</v>
      </c>
      <c r="K83">
        <f>2026-Table1[[#This Row],[Birthyear]]</f>
        <v>59</v>
      </c>
      <c r="L83" t="s">
        <v>1914</v>
      </c>
      <c r="M83" t="s">
        <v>1326</v>
      </c>
      <c r="N83" t="s">
        <v>1296</v>
      </c>
      <c r="O83" t="s">
        <v>1402</v>
      </c>
      <c r="P83">
        <v>2023</v>
      </c>
      <c r="Q83" t="s">
        <v>1344</v>
      </c>
      <c r="T83" t="str">
        <f>CONCATENATE(Table1[[#This Row],[Name]]," ",Table1[[#This Row],[Surname/Studio Name/Artistic Name]])</f>
        <v>Wafa AlQunibit</v>
      </c>
    </row>
    <row r="84" spans="1:20" x14ac:dyDescent="0.35">
      <c r="A84">
        <v>83</v>
      </c>
      <c r="B84" t="s">
        <v>170</v>
      </c>
      <c r="C84" t="s">
        <v>171</v>
      </c>
      <c r="D84" t="s">
        <v>1892</v>
      </c>
      <c r="E84" t="s">
        <v>1916</v>
      </c>
      <c r="F84" t="s">
        <v>20</v>
      </c>
      <c r="G84" t="s">
        <v>1916</v>
      </c>
      <c r="H84" t="s">
        <v>21</v>
      </c>
      <c r="I84" t="s">
        <v>22</v>
      </c>
      <c r="J84">
        <v>1967</v>
      </c>
      <c r="K84">
        <f>2026-Table1[[#This Row],[Birthyear]]</f>
        <v>59</v>
      </c>
      <c r="L84" t="s">
        <v>1914</v>
      </c>
      <c r="M84" t="s">
        <v>1345</v>
      </c>
      <c r="N84" t="s">
        <v>1296</v>
      </c>
      <c r="O84" t="s">
        <v>1881</v>
      </c>
      <c r="P84">
        <v>2021</v>
      </c>
      <c r="Q84" t="s">
        <v>1344</v>
      </c>
      <c r="R84" t="s">
        <v>1299</v>
      </c>
      <c r="T84" t="str">
        <f>CONCATENATE(Table1[[#This Row],[Name]]," ",Table1[[#This Row],[Surname/Studio Name/Artistic Name]])</f>
        <v>Wafa AlQunibit</v>
      </c>
    </row>
    <row r="85" spans="1:20" x14ac:dyDescent="0.35">
      <c r="A85">
        <v>84</v>
      </c>
      <c r="B85" t="s">
        <v>170</v>
      </c>
      <c r="C85" t="s">
        <v>171</v>
      </c>
      <c r="D85" t="s">
        <v>1892</v>
      </c>
      <c r="E85" t="s">
        <v>1916</v>
      </c>
      <c r="F85" t="s">
        <v>20</v>
      </c>
      <c r="G85" t="s">
        <v>1916</v>
      </c>
      <c r="H85" t="s">
        <v>21</v>
      </c>
      <c r="I85" t="s">
        <v>22</v>
      </c>
      <c r="J85">
        <v>1967</v>
      </c>
      <c r="K85">
        <f>2026-Table1[[#This Row],[Birthyear]]</f>
        <v>59</v>
      </c>
      <c r="L85" t="s">
        <v>1910</v>
      </c>
      <c r="M85" t="s">
        <v>1406</v>
      </c>
      <c r="N85" t="s">
        <v>1294</v>
      </c>
      <c r="T85" t="str">
        <f>CONCATENATE(Table1[[#This Row],[Name]]," ",Table1[[#This Row],[Surname/Studio Name/Artistic Name]])</f>
        <v>Wafa AlQunibit</v>
      </c>
    </row>
    <row r="86" spans="1:20" x14ac:dyDescent="0.35">
      <c r="A86">
        <v>85</v>
      </c>
      <c r="B86" t="s">
        <v>170</v>
      </c>
      <c r="C86" t="s">
        <v>171</v>
      </c>
      <c r="D86" t="s">
        <v>1892</v>
      </c>
      <c r="E86" t="s">
        <v>1916</v>
      </c>
      <c r="F86" t="s">
        <v>20</v>
      </c>
      <c r="G86" t="s">
        <v>1916</v>
      </c>
      <c r="H86" t="s">
        <v>21</v>
      </c>
      <c r="I86" t="s">
        <v>22</v>
      </c>
      <c r="J86">
        <v>1967</v>
      </c>
      <c r="K86">
        <f>2026-Table1[[#This Row],[Birthyear]]</f>
        <v>59</v>
      </c>
      <c r="L86" t="s">
        <v>1912</v>
      </c>
      <c r="M86" t="s">
        <v>1882</v>
      </c>
      <c r="N86" t="s">
        <v>1296</v>
      </c>
      <c r="O86" t="s">
        <v>1883</v>
      </c>
      <c r="Q86" t="s">
        <v>1454</v>
      </c>
      <c r="R86" t="s">
        <v>1884</v>
      </c>
      <c r="S86" t="s">
        <v>1885</v>
      </c>
      <c r="T86" t="str">
        <f>CONCATENATE(Table1[[#This Row],[Name]]," ",Table1[[#This Row],[Surname/Studio Name/Artistic Name]])</f>
        <v>Wafa AlQunibit</v>
      </c>
    </row>
    <row r="87" spans="1:20" x14ac:dyDescent="0.35">
      <c r="A87">
        <v>86</v>
      </c>
      <c r="B87" t="s">
        <v>170</v>
      </c>
      <c r="C87" t="s">
        <v>171</v>
      </c>
      <c r="D87" t="s">
        <v>1892</v>
      </c>
      <c r="E87" t="s">
        <v>1916</v>
      </c>
      <c r="F87" t="s">
        <v>20</v>
      </c>
      <c r="G87" t="s">
        <v>1916</v>
      </c>
      <c r="H87" t="s">
        <v>21</v>
      </c>
      <c r="I87" t="s">
        <v>22</v>
      </c>
      <c r="J87">
        <v>1967</v>
      </c>
      <c r="K87">
        <f>2026-Table1[[#This Row],[Birthyear]]</f>
        <v>59</v>
      </c>
      <c r="L87" t="s">
        <v>1912</v>
      </c>
      <c r="M87" t="s">
        <v>1882</v>
      </c>
      <c r="N87" t="s">
        <v>1296</v>
      </c>
      <c r="O87" t="s">
        <v>1886</v>
      </c>
      <c r="Q87" t="s">
        <v>1454</v>
      </c>
      <c r="R87" t="s">
        <v>1887</v>
      </c>
      <c r="S87" t="s">
        <v>1885</v>
      </c>
      <c r="T87" t="str">
        <f>CONCATENATE(Table1[[#This Row],[Name]]," ",Table1[[#This Row],[Surname/Studio Name/Artistic Name]])</f>
        <v>Wafa AlQunibit</v>
      </c>
    </row>
    <row r="88" spans="1:20" x14ac:dyDescent="0.35">
      <c r="A88">
        <v>87</v>
      </c>
      <c r="B88" t="s">
        <v>170</v>
      </c>
      <c r="C88" t="s">
        <v>171</v>
      </c>
      <c r="D88" t="s">
        <v>1892</v>
      </c>
      <c r="E88" t="s">
        <v>1916</v>
      </c>
      <c r="F88" t="s">
        <v>20</v>
      </c>
      <c r="G88" t="s">
        <v>1916</v>
      </c>
      <c r="H88" t="s">
        <v>21</v>
      </c>
      <c r="I88" t="s">
        <v>22</v>
      </c>
      <c r="J88">
        <v>1967</v>
      </c>
      <c r="K88">
        <f>2026-Table1[[#This Row],[Birthyear]]</f>
        <v>59</v>
      </c>
      <c r="L88" t="s">
        <v>1912</v>
      </c>
      <c r="M88" t="s">
        <v>1882</v>
      </c>
      <c r="N88" t="s">
        <v>1296</v>
      </c>
      <c r="O88" t="s">
        <v>1888</v>
      </c>
      <c r="Q88" t="s">
        <v>1454</v>
      </c>
      <c r="R88" t="s">
        <v>1889</v>
      </c>
      <c r="S88" t="s">
        <v>1885</v>
      </c>
      <c r="T88" t="str">
        <f>CONCATENATE(Table1[[#This Row],[Name]]," ",Table1[[#This Row],[Surname/Studio Name/Artistic Name]])</f>
        <v>Wafa AlQunibit</v>
      </c>
    </row>
    <row r="89" spans="1:20" x14ac:dyDescent="0.35">
      <c r="A89">
        <v>88</v>
      </c>
      <c r="B89" t="s">
        <v>170</v>
      </c>
      <c r="C89" t="s">
        <v>171</v>
      </c>
      <c r="D89" t="s">
        <v>1892</v>
      </c>
      <c r="E89" t="s">
        <v>1916</v>
      </c>
      <c r="F89" t="s">
        <v>20</v>
      </c>
      <c r="G89" t="s">
        <v>1916</v>
      </c>
      <c r="H89" t="s">
        <v>21</v>
      </c>
      <c r="I89" t="s">
        <v>22</v>
      </c>
      <c r="J89">
        <v>1967</v>
      </c>
      <c r="K89">
        <f>2026-Table1[[#This Row],[Birthyear]]</f>
        <v>59</v>
      </c>
      <c r="L89" t="s">
        <v>1290</v>
      </c>
      <c r="M89" t="s">
        <v>1290</v>
      </c>
      <c r="N89" t="s">
        <v>1291</v>
      </c>
      <c r="S89" t="s">
        <v>1374</v>
      </c>
      <c r="T89" t="str">
        <f>CONCATENATE(Table1[[#This Row],[Name]]," ",Table1[[#This Row],[Surname/Studio Name/Artistic Name]])</f>
        <v>Wafa AlQunibit</v>
      </c>
    </row>
    <row r="90" spans="1:20" x14ac:dyDescent="0.35">
      <c r="A90">
        <v>89</v>
      </c>
      <c r="B90" t="s">
        <v>170</v>
      </c>
      <c r="C90" t="s">
        <v>171</v>
      </c>
      <c r="D90" t="s">
        <v>1892</v>
      </c>
      <c r="E90" t="s">
        <v>1916</v>
      </c>
      <c r="F90" t="s">
        <v>20</v>
      </c>
      <c r="G90" t="s">
        <v>1916</v>
      </c>
      <c r="H90" t="s">
        <v>21</v>
      </c>
      <c r="I90" t="s">
        <v>22</v>
      </c>
      <c r="J90">
        <v>1967</v>
      </c>
      <c r="K90">
        <f>2026-Table1[[#This Row],[Birthyear]]</f>
        <v>59</v>
      </c>
      <c r="L90" t="s">
        <v>1914</v>
      </c>
      <c r="M90" t="s">
        <v>1759</v>
      </c>
      <c r="N90" t="s">
        <v>1296</v>
      </c>
      <c r="O90" t="s">
        <v>1890</v>
      </c>
      <c r="P90">
        <v>2026</v>
      </c>
      <c r="Q90" t="s">
        <v>1344</v>
      </c>
      <c r="T90" t="str">
        <f>CONCATENATE(Table1[[#This Row],[Name]]," ",Table1[[#This Row],[Surname/Studio Name/Artistic Name]])</f>
        <v>Wafa AlQunibit</v>
      </c>
    </row>
    <row r="91" spans="1:20" x14ac:dyDescent="0.35">
      <c r="A91">
        <v>90</v>
      </c>
      <c r="B91" t="s">
        <v>172</v>
      </c>
      <c r="C91" t="s">
        <v>173</v>
      </c>
      <c r="D91" t="s">
        <v>1892</v>
      </c>
      <c r="E91" t="s">
        <v>1916</v>
      </c>
      <c r="F91" t="s">
        <v>25</v>
      </c>
      <c r="G91" t="s">
        <v>1916</v>
      </c>
      <c r="H91" t="s">
        <v>21</v>
      </c>
      <c r="J91">
        <v>1984</v>
      </c>
      <c r="K91">
        <f>2026-Table1[[#This Row],[Birthyear]]</f>
        <v>42</v>
      </c>
      <c r="L91" t="s">
        <v>1293</v>
      </c>
      <c r="M91" t="s">
        <v>1293</v>
      </c>
      <c r="N91" t="s">
        <v>1294</v>
      </c>
      <c r="T91" t="str">
        <f>CONCATENATE(Table1[[#This Row],[Name]]," ",Table1[[#This Row],[Surname/Studio Name/Artistic Name]])</f>
        <v>Balqis AlRashed</v>
      </c>
    </row>
    <row r="92" spans="1:20" x14ac:dyDescent="0.35">
      <c r="A92">
        <v>91</v>
      </c>
      <c r="B92" t="s">
        <v>174</v>
      </c>
      <c r="C92" t="s">
        <v>175</v>
      </c>
      <c r="D92" t="s">
        <v>1892</v>
      </c>
      <c r="E92" t="s">
        <v>1916</v>
      </c>
      <c r="F92" t="s">
        <v>20</v>
      </c>
      <c r="G92" t="s">
        <v>1916</v>
      </c>
      <c r="H92" t="s">
        <v>26</v>
      </c>
      <c r="J92">
        <v>1998</v>
      </c>
      <c r="K92">
        <f>2026-Table1[[#This Row],[Birthyear]]</f>
        <v>28</v>
      </c>
      <c r="L92" t="s">
        <v>1900</v>
      </c>
      <c r="M92" t="s">
        <v>1295</v>
      </c>
      <c r="N92" t="s">
        <v>1296</v>
      </c>
      <c r="O92" t="s">
        <v>1403</v>
      </c>
      <c r="P92">
        <v>2025</v>
      </c>
      <c r="Q92" t="s">
        <v>1404</v>
      </c>
      <c r="R92" t="s">
        <v>1405</v>
      </c>
      <c r="T92" t="str">
        <f>CONCATENATE(Table1[[#This Row],[Name]]," ",Table1[[#This Row],[Surname/Studio Name/Artistic Name]])</f>
        <v>Ziyad Alroqi</v>
      </c>
    </row>
    <row r="93" spans="1:20" x14ac:dyDescent="0.35">
      <c r="A93">
        <v>92</v>
      </c>
      <c r="B93" t="s">
        <v>176</v>
      </c>
      <c r="C93" t="s">
        <v>115</v>
      </c>
      <c r="D93" t="s">
        <v>1892</v>
      </c>
      <c r="E93" t="s">
        <v>1916</v>
      </c>
      <c r="F93" t="s">
        <v>25</v>
      </c>
      <c r="G93" t="s">
        <v>1916</v>
      </c>
      <c r="H93" t="s">
        <v>26</v>
      </c>
      <c r="J93">
        <v>1945</v>
      </c>
      <c r="K93">
        <f>2026-Table1[[#This Row],[Birthyear]]</f>
        <v>81</v>
      </c>
      <c r="L93" t="s">
        <v>1910</v>
      </c>
      <c r="M93" t="s">
        <v>1406</v>
      </c>
      <c r="N93" t="s">
        <v>1294</v>
      </c>
      <c r="T93" t="str">
        <f>CONCATENATE(Table1[[#This Row],[Name]]," ",Table1[[#This Row],[Surname/Studio Name/Artistic Name]])</f>
        <v>Ali Alruzaiza</v>
      </c>
    </row>
    <row r="94" spans="1:20" x14ac:dyDescent="0.35">
      <c r="A94">
        <v>93</v>
      </c>
      <c r="B94" t="s">
        <v>177</v>
      </c>
      <c r="C94" t="s">
        <v>178</v>
      </c>
      <c r="D94" t="s">
        <v>1892</v>
      </c>
      <c r="E94" t="s">
        <v>1916</v>
      </c>
      <c r="F94" t="s">
        <v>20</v>
      </c>
      <c r="G94" t="s">
        <v>1916</v>
      </c>
      <c r="H94" t="s">
        <v>26</v>
      </c>
      <c r="I94" t="s">
        <v>22</v>
      </c>
      <c r="J94">
        <v>1991</v>
      </c>
      <c r="K94">
        <f>2026-Table1[[#This Row],[Birthyear]]</f>
        <v>35</v>
      </c>
      <c r="L94" t="s">
        <v>1900</v>
      </c>
      <c r="M94" t="s">
        <v>1300</v>
      </c>
      <c r="N94" t="s">
        <v>1296</v>
      </c>
      <c r="O94" t="s">
        <v>1407</v>
      </c>
      <c r="P94">
        <v>2022</v>
      </c>
      <c r="Q94" t="s">
        <v>1298</v>
      </c>
      <c r="R94" t="s">
        <v>1408</v>
      </c>
      <c r="T94" t="str">
        <f>CONCATENATE(Table1[[#This Row],[Name]]," ",Table1[[#This Row],[Surname/Studio Name/Artistic Name]])</f>
        <v>Obaid Alsafi</v>
      </c>
    </row>
    <row r="95" spans="1:20" x14ac:dyDescent="0.35">
      <c r="A95">
        <v>94</v>
      </c>
      <c r="B95" t="s">
        <v>179</v>
      </c>
      <c r="C95" t="s">
        <v>180</v>
      </c>
      <c r="D95" t="s">
        <v>1892</v>
      </c>
      <c r="E95" t="s">
        <v>1916</v>
      </c>
      <c r="F95" t="s">
        <v>20</v>
      </c>
      <c r="G95" t="s">
        <v>1916</v>
      </c>
      <c r="H95" t="s">
        <v>21</v>
      </c>
      <c r="J95">
        <v>1994</v>
      </c>
      <c r="K95">
        <f>2026-Table1[[#This Row],[Birthyear]]</f>
        <v>32</v>
      </c>
      <c r="L95" t="s">
        <v>1900</v>
      </c>
      <c r="M95" t="s">
        <v>1317</v>
      </c>
      <c r="N95" t="s">
        <v>1296</v>
      </c>
      <c r="O95" t="s">
        <v>1409</v>
      </c>
      <c r="P95">
        <v>2023</v>
      </c>
      <c r="Q95" t="s">
        <v>1348</v>
      </c>
      <c r="R95" t="s">
        <v>1312</v>
      </c>
      <c r="S95" t="s">
        <v>1320</v>
      </c>
      <c r="T95" t="str">
        <f>CONCATENATE(Table1[[#This Row],[Name]]," ",Table1[[#This Row],[Surname/Studio Name/Artistic Name]])</f>
        <v>Mashael AlSaie​</v>
      </c>
    </row>
    <row r="96" spans="1:20" x14ac:dyDescent="0.35">
      <c r="A96">
        <v>95</v>
      </c>
      <c r="B96" t="s">
        <v>181</v>
      </c>
      <c r="C96" t="s">
        <v>169</v>
      </c>
      <c r="D96" t="s">
        <v>1892</v>
      </c>
      <c r="E96" t="s">
        <v>1916</v>
      </c>
      <c r="F96" t="s">
        <v>20</v>
      </c>
      <c r="G96" t="s">
        <v>1916</v>
      </c>
      <c r="H96" t="s">
        <v>21</v>
      </c>
      <c r="I96" t="s">
        <v>22</v>
      </c>
      <c r="J96">
        <v>1964</v>
      </c>
      <c r="K96">
        <f>2026-Table1[[#This Row],[Birthyear]]</f>
        <v>62</v>
      </c>
      <c r="L96" t="s">
        <v>1290</v>
      </c>
      <c r="M96" t="s">
        <v>1290</v>
      </c>
      <c r="N96" t="s">
        <v>1291</v>
      </c>
      <c r="S96" t="s">
        <v>1359</v>
      </c>
      <c r="T96" t="str">
        <f>CONCATENATE(Table1[[#This Row],[Name]]," ",Table1[[#This Row],[Surname/Studio Name/Artistic Name]])</f>
        <v>Najla AlSaleem</v>
      </c>
    </row>
    <row r="97" spans="1:20" x14ac:dyDescent="0.35">
      <c r="A97">
        <v>96</v>
      </c>
      <c r="B97" t="s">
        <v>182</v>
      </c>
      <c r="C97" t="s">
        <v>183</v>
      </c>
      <c r="D97" t="s">
        <v>1892</v>
      </c>
      <c r="E97" t="s">
        <v>1916</v>
      </c>
      <c r="F97" t="s">
        <v>20</v>
      </c>
      <c r="G97" t="s">
        <v>1916</v>
      </c>
      <c r="H97" t="s">
        <v>21</v>
      </c>
      <c r="I97" t="s">
        <v>22</v>
      </c>
      <c r="J97">
        <v>1970</v>
      </c>
      <c r="K97">
        <f>2026-Table1[[#This Row],[Birthyear]]</f>
        <v>56</v>
      </c>
      <c r="L97" t="s">
        <v>1410</v>
      </c>
      <c r="M97" t="s">
        <v>1410</v>
      </c>
      <c r="N97" t="s">
        <v>1291</v>
      </c>
      <c r="S97" t="s">
        <v>1411</v>
      </c>
      <c r="T97" t="str">
        <f>CONCATENATE(Table1[[#This Row],[Name]]," ",Table1[[#This Row],[Surname/Studio Name/Artistic Name]])</f>
        <v>Daniah AlSaleh</v>
      </c>
    </row>
    <row r="98" spans="1:20" x14ac:dyDescent="0.35">
      <c r="A98">
        <v>97</v>
      </c>
      <c r="B98" t="s">
        <v>184</v>
      </c>
      <c r="C98" t="s">
        <v>153</v>
      </c>
      <c r="D98" t="s">
        <v>1892</v>
      </c>
      <c r="E98" t="s">
        <v>1916</v>
      </c>
      <c r="F98" t="s">
        <v>20</v>
      </c>
      <c r="G98" t="s">
        <v>1916</v>
      </c>
      <c r="H98" t="s">
        <v>26</v>
      </c>
      <c r="I98" t="s">
        <v>22</v>
      </c>
      <c r="J98">
        <v>1984</v>
      </c>
      <c r="K98">
        <f>2026-Table1[[#This Row],[Birthyear]]</f>
        <v>42</v>
      </c>
      <c r="L98" t="s">
        <v>1900</v>
      </c>
      <c r="M98" t="s">
        <v>1300</v>
      </c>
      <c r="N98" t="s">
        <v>1296</v>
      </c>
      <c r="O98" t="s">
        <v>1412</v>
      </c>
      <c r="P98">
        <v>2012</v>
      </c>
      <c r="Q98" t="s">
        <v>1302</v>
      </c>
      <c r="R98" t="s">
        <v>1312</v>
      </c>
      <c r="S98" t="s">
        <v>1313</v>
      </c>
      <c r="T98" t="str">
        <f>CONCATENATE(Table1[[#This Row],[Name]]," ",Table1[[#This Row],[Surname/Studio Name/Artistic Name]])</f>
        <v>Nasser AlSalem</v>
      </c>
    </row>
    <row r="99" spans="1:20" x14ac:dyDescent="0.35">
      <c r="A99">
        <v>98</v>
      </c>
      <c r="B99" t="s">
        <v>184</v>
      </c>
      <c r="C99" t="s">
        <v>185</v>
      </c>
      <c r="D99" t="s">
        <v>1892</v>
      </c>
      <c r="E99" t="s">
        <v>1916</v>
      </c>
      <c r="F99" t="s">
        <v>20</v>
      </c>
      <c r="G99" t="s">
        <v>1916</v>
      </c>
      <c r="H99" t="s">
        <v>26</v>
      </c>
      <c r="J99">
        <v>1993</v>
      </c>
      <c r="K99">
        <f>2026-Table1[[#This Row],[Birthyear]]</f>
        <v>33</v>
      </c>
      <c r="L99" t="s">
        <v>1900</v>
      </c>
      <c r="M99" t="s">
        <v>1310</v>
      </c>
      <c r="N99" t="s">
        <v>1296</v>
      </c>
      <c r="O99" t="s">
        <v>1413</v>
      </c>
      <c r="P99">
        <v>2021</v>
      </c>
      <c r="Q99" t="s">
        <v>1334</v>
      </c>
      <c r="R99" t="s">
        <v>1312</v>
      </c>
      <c r="S99" t="s">
        <v>1373</v>
      </c>
      <c r="T99" t="str">
        <f>CONCATENATE(Table1[[#This Row],[Name]]," ",Table1[[#This Row],[Surname/Studio Name/Artistic Name]])</f>
        <v>Suliman AlSalem</v>
      </c>
    </row>
    <row r="100" spans="1:20" x14ac:dyDescent="0.35">
      <c r="A100">
        <v>99</v>
      </c>
      <c r="B100" t="s">
        <v>186</v>
      </c>
      <c r="C100" t="s">
        <v>100</v>
      </c>
      <c r="D100" t="s">
        <v>1892</v>
      </c>
      <c r="E100" t="s">
        <v>1916</v>
      </c>
      <c r="F100" t="s">
        <v>20</v>
      </c>
      <c r="G100" t="s">
        <v>1916</v>
      </c>
      <c r="H100" t="s">
        <v>26</v>
      </c>
      <c r="J100">
        <v>1981</v>
      </c>
      <c r="K100">
        <f>2026-Table1[[#This Row],[Birthyear]]</f>
        <v>45</v>
      </c>
      <c r="L100" t="s">
        <v>1900</v>
      </c>
      <c r="M100" t="s">
        <v>1300</v>
      </c>
      <c r="N100" t="s">
        <v>1296</v>
      </c>
      <c r="O100" t="s">
        <v>1414</v>
      </c>
      <c r="P100">
        <v>2022</v>
      </c>
      <c r="Q100" t="s">
        <v>1319</v>
      </c>
      <c r="R100" t="s">
        <v>1415</v>
      </c>
      <c r="S100" t="s">
        <v>1304</v>
      </c>
      <c r="T100" t="str">
        <f>CONCATENATE(Table1[[#This Row],[Name]]," ",Table1[[#This Row],[Surname/Studio Name/Artistic Name]])</f>
        <v>Mohammed AlSanie</v>
      </c>
    </row>
    <row r="101" spans="1:20" x14ac:dyDescent="0.35">
      <c r="A101">
        <v>100</v>
      </c>
      <c r="B101" t="s">
        <v>187</v>
      </c>
      <c r="C101" t="s">
        <v>188</v>
      </c>
      <c r="D101" t="s">
        <v>1892</v>
      </c>
      <c r="E101" t="s">
        <v>1916</v>
      </c>
      <c r="F101" t="s">
        <v>20</v>
      </c>
      <c r="G101" t="s">
        <v>1916</v>
      </c>
      <c r="H101" t="s">
        <v>21</v>
      </c>
      <c r="J101">
        <v>1980</v>
      </c>
      <c r="K101">
        <f>2026-Table1[[#This Row],[Birthyear]]</f>
        <v>46</v>
      </c>
      <c r="L101" t="s">
        <v>1914</v>
      </c>
      <c r="M101" t="s">
        <v>1326</v>
      </c>
      <c r="N101" t="s">
        <v>1296</v>
      </c>
      <c r="O101" t="s">
        <v>1416</v>
      </c>
      <c r="P101">
        <v>2023</v>
      </c>
      <c r="Q101" t="s">
        <v>1344</v>
      </c>
      <c r="T101" t="str">
        <f>CONCATENATE(Table1[[#This Row],[Name]]," ",Table1[[#This Row],[Surname/Studio Name/Artistic Name]])</f>
        <v>Noha AlSharif</v>
      </c>
    </row>
    <row r="102" spans="1:20" x14ac:dyDescent="0.35">
      <c r="A102">
        <v>101</v>
      </c>
      <c r="B102" t="s">
        <v>189</v>
      </c>
      <c r="C102" t="s">
        <v>190</v>
      </c>
      <c r="D102" t="s">
        <v>1892</v>
      </c>
      <c r="E102" t="s">
        <v>1916</v>
      </c>
      <c r="F102" t="s">
        <v>25</v>
      </c>
      <c r="G102" t="s">
        <v>1916</v>
      </c>
      <c r="H102" t="s">
        <v>26</v>
      </c>
      <c r="I102" t="s">
        <v>22</v>
      </c>
      <c r="J102">
        <v>1977</v>
      </c>
      <c r="K102">
        <f>2026-Table1[[#This Row],[Birthyear]]</f>
        <v>49</v>
      </c>
      <c r="L102" t="s">
        <v>1293</v>
      </c>
      <c r="M102" t="s">
        <v>1293</v>
      </c>
      <c r="N102" t="s">
        <v>1294</v>
      </c>
      <c r="T102" t="str">
        <f>CONCATENATE(Table1[[#This Row],[Name]]," ",Table1[[#This Row],[Surname/Studio Name/Artistic Name]])</f>
        <v>Rashed AlShashai</v>
      </c>
    </row>
    <row r="103" spans="1:20" x14ac:dyDescent="0.35">
      <c r="A103">
        <v>102</v>
      </c>
      <c r="B103" t="s">
        <v>191</v>
      </c>
      <c r="C103" t="s">
        <v>192</v>
      </c>
      <c r="D103" t="s">
        <v>1892</v>
      </c>
      <c r="E103" t="s">
        <v>1916</v>
      </c>
      <c r="F103" t="s">
        <v>20</v>
      </c>
      <c r="G103" t="s">
        <v>1916</v>
      </c>
      <c r="H103" t="s">
        <v>21</v>
      </c>
      <c r="J103">
        <v>1999</v>
      </c>
      <c r="K103">
        <f>2026-Table1[[#This Row],[Birthyear]]</f>
        <v>27</v>
      </c>
      <c r="L103" t="s">
        <v>1914</v>
      </c>
      <c r="M103" t="s">
        <v>1342</v>
      </c>
      <c r="N103" t="s">
        <v>1296</v>
      </c>
      <c r="O103" t="s">
        <v>1417</v>
      </c>
      <c r="P103">
        <v>2025</v>
      </c>
      <c r="Q103" t="s">
        <v>1344</v>
      </c>
      <c r="T103" t="str">
        <f>CONCATENATE(Table1[[#This Row],[Name]]," ",Table1[[#This Row],[Surname/Studio Name/Artistic Name]])</f>
        <v>Rawan AlShehri</v>
      </c>
    </row>
    <row r="104" spans="1:20" x14ac:dyDescent="0.35">
      <c r="A104">
        <v>103</v>
      </c>
      <c r="B104" t="s">
        <v>193</v>
      </c>
      <c r="C104" t="s">
        <v>194</v>
      </c>
      <c r="D104" t="s">
        <v>1892</v>
      </c>
      <c r="E104" t="s">
        <v>1916</v>
      </c>
      <c r="F104" t="s">
        <v>20</v>
      </c>
      <c r="G104" t="s">
        <v>1916</v>
      </c>
      <c r="H104" t="s">
        <v>26</v>
      </c>
      <c r="I104" t="s">
        <v>22</v>
      </c>
      <c r="J104">
        <v>1989</v>
      </c>
      <c r="K104">
        <f>2026-Table1[[#This Row],[Birthyear]]</f>
        <v>37</v>
      </c>
      <c r="L104" t="s">
        <v>1410</v>
      </c>
      <c r="M104" t="s">
        <v>1410</v>
      </c>
      <c r="N104" t="s">
        <v>1291</v>
      </c>
      <c r="S104" t="s">
        <v>1418</v>
      </c>
      <c r="T104" t="str">
        <f>CONCATENATE(Table1[[#This Row],[Name]]," ",Table1[[#This Row],[Surname/Studio Name/Artistic Name]])</f>
        <v>Nasser  AlShemimry (DesertF!sh)</v>
      </c>
    </row>
    <row r="105" spans="1:20" x14ac:dyDescent="0.35">
      <c r="A105">
        <v>104</v>
      </c>
      <c r="B105" t="s">
        <v>195</v>
      </c>
      <c r="C105" t="s">
        <v>196</v>
      </c>
      <c r="D105" t="s">
        <v>1892</v>
      </c>
      <c r="E105" t="s">
        <v>1916</v>
      </c>
      <c r="F105" t="s">
        <v>25</v>
      </c>
      <c r="G105" t="s">
        <v>1916</v>
      </c>
      <c r="H105" t="s">
        <v>21</v>
      </c>
      <c r="I105" t="s">
        <v>22</v>
      </c>
      <c r="J105">
        <v>1983</v>
      </c>
      <c r="K105">
        <f>2026-Table1[[#This Row],[Birthyear]]</f>
        <v>43</v>
      </c>
      <c r="L105" t="s">
        <v>1290</v>
      </c>
      <c r="M105" t="s">
        <v>1290</v>
      </c>
      <c r="N105" t="s">
        <v>1291</v>
      </c>
      <c r="S105" t="s">
        <v>1419</v>
      </c>
      <c r="T105" t="str">
        <f>CONCATENATE(Table1[[#This Row],[Name]]," ",Table1[[#This Row],[Surname/Studio Name/Artistic Name]])</f>
        <v>Donia Alshetairy</v>
      </c>
    </row>
    <row r="106" spans="1:20" x14ac:dyDescent="0.35">
      <c r="A106">
        <v>105</v>
      </c>
      <c r="B106" t="s">
        <v>197</v>
      </c>
      <c r="C106" t="s">
        <v>198</v>
      </c>
      <c r="D106" t="s">
        <v>1892</v>
      </c>
      <c r="E106" t="s">
        <v>1916</v>
      </c>
      <c r="F106" t="s">
        <v>25</v>
      </c>
      <c r="G106" t="s">
        <v>1916</v>
      </c>
      <c r="H106" t="s">
        <v>26</v>
      </c>
      <c r="I106" t="s">
        <v>22</v>
      </c>
      <c r="J106">
        <v>1954</v>
      </c>
      <c r="K106">
        <f>2026-Table1[[#This Row],[Birthyear]]</f>
        <v>72</v>
      </c>
      <c r="L106" t="s">
        <v>1290</v>
      </c>
      <c r="M106" t="s">
        <v>1290</v>
      </c>
      <c r="N106" t="s">
        <v>1296</v>
      </c>
      <c r="O106" t="s">
        <v>1420</v>
      </c>
      <c r="Q106" t="s">
        <v>1306</v>
      </c>
      <c r="R106" t="s">
        <v>1421</v>
      </c>
      <c r="S106" t="s">
        <v>1308</v>
      </c>
      <c r="T106" t="str">
        <f>CONCATENATE(Table1[[#This Row],[Name]]," ",Table1[[#This Row],[Surname/Studio Name/Artistic Name]])</f>
        <v>Abdulrahman AlSoliman</v>
      </c>
    </row>
    <row r="107" spans="1:20" x14ac:dyDescent="0.35">
      <c r="A107">
        <v>106</v>
      </c>
      <c r="B107" t="s">
        <v>199</v>
      </c>
      <c r="D107" t="s">
        <v>1892</v>
      </c>
      <c r="E107" t="s">
        <v>1916</v>
      </c>
      <c r="F107" t="s">
        <v>25</v>
      </c>
      <c r="G107" t="s">
        <v>1916</v>
      </c>
      <c r="H107" t="s">
        <v>26</v>
      </c>
      <c r="I107" t="s">
        <v>22</v>
      </c>
      <c r="J107">
        <v>1987</v>
      </c>
      <c r="K107">
        <f>2026-Table1[[#This Row],[Birthyear]]</f>
        <v>39</v>
      </c>
      <c r="L107" t="s">
        <v>1290</v>
      </c>
      <c r="M107" t="s">
        <v>1290</v>
      </c>
      <c r="N107" t="s">
        <v>1291</v>
      </c>
      <c r="S107" t="s">
        <v>1422</v>
      </c>
      <c r="T107" t="str">
        <f>CONCATENATE(Table1[[#This Row],[Name]]," ",Table1[[#This Row],[Surname/Studio Name/Artistic Name]])</f>
        <v xml:space="preserve"> AlSubaie</v>
      </c>
    </row>
    <row r="108" spans="1:20" x14ac:dyDescent="0.35">
      <c r="A108">
        <v>107</v>
      </c>
      <c r="B108" t="s">
        <v>200</v>
      </c>
      <c r="C108" t="s">
        <v>201</v>
      </c>
      <c r="D108" t="s">
        <v>1892</v>
      </c>
      <c r="E108" t="s">
        <v>1916</v>
      </c>
      <c r="F108" t="s">
        <v>20</v>
      </c>
      <c r="G108" t="s">
        <v>1916</v>
      </c>
      <c r="H108" t="s">
        <v>21</v>
      </c>
      <c r="I108" t="s">
        <v>22</v>
      </c>
      <c r="J108">
        <v>1994</v>
      </c>
      <c r="K108">
        <f>2026-Table1[[#This Row],[Birthyear]]</f>
        <v>32</v>
      </c>
      <c r="L108" t="s">
        <v>1900</v>
      </c>
      <c r="M108" t="s">
        <v>1310</v>
      </c>
      <c r="N108" t="s">
        <v>1296</v>
      </c>
      <c r="O108" t="s">
        <v>1423</v>
      </c>
      <c r="P108">
        <v>2021</v>
      </c>
      <c r="Q108" t="s">
        <v>1298</v>
      </c>
      <c r="R108" t="s">
        <v>1424</v>
      </c>
      <c r="S108" t="s">
        <v>1373</v>
      </c>
      <c r="T108" t="str">
        <f>CONCATENATE(Table1[[#This Row],[Name]]," ",Table1[[#This Row],[Surname/Studio Name/Artistic Name]])</f>
        <v>Nojoud Alsudairy</v>
      </c>
    </row>
    <row r="109" spans="1:20" x14ac:dyDescent="0.35">
      <c r="A109">
        <v>108</v>
      </c>
      <c r="B109" t="s">
        <v>202</v>
      </c>
      <c r="C109" t="s">
        <v>100</v>
      </c>
      <c r="D109" t="s">
        <v>1892</v>
      </c>
      <c r="E109" t="s">
        <v>1916</v>
      </c>
      <c r="F109" t="s">
        <v>20</v>
      </c>
      <c r="G109" t="s">
        <v>1916</v>
      </c>
      <c r="H109" t="s">
        <v>26</v>
      </c>
      <c r="I109" t="s">
        <v>22</v>
      </c>
      <c r="J109">
        <v>1975</v>
      </c>
      <c r="K109">
        <f>2026-Table1[[#This Row],[Birthyear]]</f>
        <v>51</v>
      </c>
      <c r="L109" t="s">
        <v>1914</v>
      </c>
      <c r="M109" t="s">
        <v>1425</v>
      </c>
      <c r="N109" t="s">
        <v>1296</v>
      </c>
      <c r="P109">
        <v>2019</v>
      </c>
      <c r="Q109" t="s">
        <v>1344</v>
      </c>
      <c r="T109" t="str">
        <f>CONCATENATE(Table1[[#This Row],[Name]]," ",Table1[[#This Row],[Surname/Studio Name/Artistic Name]])</f>
        <v>Mohammed AlThagafi</v>
      </c>
    </row>
    <row r="110" spans="1:20" x14ac:dyDescent="0.35">
      <c r="A110">
        <v>109</v>
      </c>
      <c r="B110" t="s">
        <v>203</v>
      </c>
      <c r="C110" t="s">
        <v>115</v>
      </c>
      <c r="D110" t="s">
        <v>1892</v>
      </c>
      <c r="E110" t="s">
        <v>1916</v>
      </c>
      <c r="F110" t="s">
        <v>20</v>
      </c>
      <c r="G110" t="s">
        <v>1916</v>
      </c>
      <c r="H110" t="s">
        <v>26</v>
      </c>
      <c r="J110">
        <v>1957</v>
      </c>
      <c r="K110">
        <f>2026-Table1[[#This Row],[Birthyear]]</f>
        <v>69</v>
      </c>
      <c r="L110" t="s">
        <v>1914</v>
      </c>
      <c r="M110" t="s">
        <v>1425</v>
      </c>
      <c r="N110" t="s">
        <v>1296</v>
      </c>
      <c r="P110">
        <v>2019</v>
      </c>
      <c r="Q110" t="s">
        <v>1344</v>
      </c>
      <c r="T110" t="str">
        <f>CONCATENATE(Table1[[#This Row],[Name]]," ",Table1[[#This Row],[Surname/Studio Name/Artistic Name]])</f>
        <v>Ali AlTokhais</v>
      </c>
    </row>
    <row r="111" spans="1:20" x14ac:dyDescent="0.35">
      <c r="A111">
        <v>110</v>
      </c>
      <c r="B111" t="s">
        <v>204</v>
      </c>
      <c r="C111" t="s">
        <v>205</v>
      </c>
      <c r="D111" t="s">
        <v>1892</v>
      </c>
      <c r="E111" t="s">
        <v>1916</v>
      </c>
      <c r="F111" t="s">
        <v>20</v>
      </c>
      <c r="G111" t="s">
        <v>1916</v>
      </c>
      <c r="H111" t="s">
        <v>26</v>
      </c>
      <c r="J111">
        <v>1982</v>
      </c>
      <c r="K111">
        <f>2026-Table1[[#This Row],[Birthyear]]</f>
        <v>44</v>
      </c>
      <c r="L111" t="s">
        <v>1914</v>
      </c>
      <c r="M111" t="s">
        <v>1326</v>
      </c>
      <c r="N111" t="s">
        <v>1296</v>
      </c>
      <c r="O111" t="s">
        <v>1426</v>
      </c>
      <c r="P111">
        <v>2023</v>
      </c>
      <c r="Q111" t="s">
        <v>1344</v>
      </c>
      <c r="T111" t="str">
        <f>CONCATENATE(Table1[[#This Row],[Name]]," ",Table1[[#This Row],[Surname/Studio Name/Artistic Name]])</f>
        <v>Talal Altukhaes</v>
      </c>
    </row>
    <row r="112" spans="1:20" x14ac:dyDescent="0.35">
      <c r="A112">
        <v>111</v>
      </c>
      <c r="B112" t="s">
        <v>206</v>
      </c>
      <c r="C112" t="s">
        <v>153</v>
      </c>
      <c r="D112" t="s">
        <v>1892</v>
      </c>
      <c r="E112" t="s">
        <v>1916</v>
      </c>
      <c r="F112" t="s">
        <v>20</v>
      </c>
      <c r="G112" t="s">
        <v>1916</v>
      </c>
      <c r="H112" t="s">
        <v>26</v>
      </c>
      <c r="I112" t="s">
        <v>22</v>
      </c>
      <c r="J112">
        <v>1971</v>
      </c>
      <c r="K112">
        <f>2026-Table1[[#This Row],[Birthyear]]</f>
        <v>55</v>
      </c>
      <c r="L112" t="s">
        <v>1290</v>
      </c>
      <c r="M112" t="s">
        <v>1290</v>
      </c>
      <c r="N112" t="s">
        <v>1291</v>
      </c>
      <c r="S112" t="s">
        <v>1427</v>
      </c>
      <c r="T112" t="str">
        <f>CONCATENATE(Table1[[#This Row],[Name]]," ",Table1[[#This Row],[Surname/Studio Name/Artistic Name]])</f>
        <v>Nasser AlTurki</v>
      </c>
    </row>
    <row r="113" spans="1:20" x14ac:dyDescent="0.35">
      <c r="A113">
        <v>112</v>
      </c>
      <c r="B113" t="s">
        <v>207</v>
      </c>
      <c r="C113" t="s">
        <v>208</v>
      </c>
      <c r="D113" t="s">
        <v>1892</v>
      </c>
      <c r="E113" t="s">
        <v>1916</v>
      </c>
      <c r="F113" t="s">
        <v>20</v>
      </c>
      <c r="G113" t="s">
        <v>1916</v>
      </c>
      <c r="H113" t="s">
        <v>26</v>
      </c>
      <c r="J113">
        <v>1953</v>
      </c>
      <c r="K113">
        <f>2026-Table1[[#This Row],[Birthyear]]</f>
        <v>73</v>
      </c>
      <c r="L113" t="s">
        <v>1914</v>
      </c>
      <c r="M113" t="s">
        <v>1345</v>
      </c>
      <c r="N113" t="s">
        <v>1296</v>
      </c>
      <c r="O113" t="s">
        <v>1428</v>
      </c>
      <c r="P113">
        <v>2021</v>
      </c>
      <c r="Q113" t="s">
        <v>1344</v>
      </c>
      <c r="R113" t="s">
        <v>1299</v>
      </c>
      <c r="T113" t="str">
        <f>CONCATENATE(Table1[[#This Row],[Name]]," ",Table1[[#This Row],[Surname/Studio Name/Artistic Name]])</f>
        <v>Fernando "Nando" Alvarez</v>
      </c>
    </row>
    <row r="114" spans="1:20" x14ac:dyDescent="0.35">
      <c r="A114">
        <v>113</v>
      </c>
      <c r="B114" t="s">
        <v>207</v>
      </c>
      <c r="C114" t="s">
        <v>210</v>
      </c>
      <c r="D114" t="s">
        <v>1892</v>
      </c>
      <c r="E114" t="s">
        <v>1916</v>
      </c>
      <c r="F114" t="s">
        <v>20</v>
      </c>
      <c r="G114" t="s">
        <v>1916</v>
      </c>
      <c r="H114" t="s">
        <v>26</v>
      </c>
      <c r="J114">
        <v>1956</v>
      </c>
      <c r="K114">
        <f>2026-Table1[[#This Row],[Birthyear]]</f>
        <v>70</v>
      </c>
      <c r="L114" t="s">
        <v>1914</v>
      </c>
      <c r="M114" t="s">
        <v>1326</v>
      </c>
      <c r="N114" t="s">
        <v>1296</v>
      </c>
      <c r="O114" t="s">
        <v>1429</v>
      </c>
      <c r="P114">
        <v>2023</v>
      </c>
      <c r="Q114" t="s">
        <v>1344</v>
      </c>
      <c r="T114" t="str">
        <f>CONCATENATE(Table1[[#This Row],[Name]]," ",Table1[[#This Row],[Surname/Studio Name/Artistic Name]])</f>
        <v>Javier Alvarez</v>
      </c>
    </row>
    <row r="115" spans="1:20" x14ac:dyDescent="0.35">
      <c r="A115">
        <v>114</v>
      </c>
      <c r="B115" t="s">
        <v>212</v>
      </c>
      <c r="C115" t="s">
        <v>213</v>
      </c>
      <c r="D115" t="s">
        <v>1892</v>
      </c>
      <c r="E115" t="s">
        <v>1916</v>
      </c>
      <c r="F115" t="s">
        <v>20</v>
      </c>
      <c r="G115" t="s">
        <v>1916</v>
      </c>
      <c r="H115" t="s">
        <v>26</v>
      </c>
      <c r="J115">
        <v>1962</v>
      </c>
      <c r="K115">
        <f>2026-Table1[[#This Row],[Birthyear]]</f>
        <v>64</v>
      </c>
      <c r="L115" t="s">
        <v>1315</v>
      </c>
      <c r="M115" t="s">
        <v>1315</v>
      </c>
      <c r="N115" t="s">
        <v>1327</v>
      </c>
      <c r="S115" t="s">
        <v>1316</v>
      </c>
      <c r="T115" t="str">
        <f>CONCATENATE(Table1[[#This Row],[Name]]," ",Table1[[#This Row],[Surname/Studio Name/Artistic Name]])</f>
        <v>Oscar Alvariño</v>
      </c>
    </row>
    <row r="116" spans="1:20" x14ac:dyDescent="0.35">
      <c r="A116">
        <v>115</v>
      </c>
      <c r="B116" t="s">
        <v>214</v>
      </c>
      <c r="C116" t="s">
        <v>215</v>
      </c>
      <c r="D116" t="s">
        <v>1892</v>
      </c>
      <c r="E116" t="s">
        <v>1916</v>
      </c>
      <c r="F116" t="s">
        <v>20</v>
      </c>
      <c r="G116" t="s">
        <v>1916</v>
      </c>
      <c r="H116" t="s">
        <v>26</v>
      </c>
      <c r="J116">
        <v>1967</v>
      </c>
      <c r="K116">
        <f>2026-Table1[[#This Row],[Birthyear]]</f>
        <v>59</v>
      </c>
      <c r="L116" t="s">
        <v>1357</v>
      </c>
      <c r="M116" t="s">
        <v>1357</v>
      </c>
      <c r="N116" t="s">
        <v>1294</v>
      </c>
      <c r="S116" t="s">
        <v>1430</v>
      </c>
      <c r="T116" t="str">
        <f>CONCATENATE(Table1[[#This Row],[Name]]," ",Table1[[#This Row],[Surname/Studio Name/Artistic Name]])</f>
        <v>Ryuta Amae</v>
      </c>
    </row>
    <row r="117" spans="1:20" x14ac:dyDescent="0.35">
      <c r="A117">
        <v>116</v>
      </c>
      <c r="B117" t="s">
        <v>217</v>
      </c>
      <c r="C117" t="s">
        <v>218</v>
      </c>
      <c r="D117" t="s">
        <v>1892</v>
      </c>
      <c r="E117" t="s">
        <v>1916</v>
      </c>
      <c r="F117" t="s">
        <v>25</v>
      </c>
      <c r="G117" t="s">
        <v>1916</v>
      </c>
      <c r="H117" t="s">
        <v>21</v>
      </c>
      <c r="J117">
        <v>1963</v>
      </c>
      <c r="K117">
        <f>2026-Table1[[#This Row],[Birthyear]]</f>
        <v>63</v>
      </c>
      <c r="L117" t="s">
        <v>1293</v>
      </c>
      <c r="M117" t="s">
        <v>1293</v>
      </c>
      <c r="N117" t="s">
        <v>1309</v>
      </c>
      <c r="T117" t="str">
        <f>CONCATENATE(Table1[[#This Row],[Name]]," ",Table1[[#This Row],[Surname/Studio Name/Artistic Name]])</f>
        <v>Ghada Amer</v>
      </c>
    </row>
    <row r="118" spans="1:20" x14ac:dyDescent="0.35">
      <c r="A118">
        <v>117</v>
      </c>
      <c r="B118" t="s">
        <v>220</v>
      </c>
      <c r="C118" t="s">
        <v>221</v>
      </c>
      <c r="D118" t="s">
        <v>1892</v>
      </c>
      <c r="E118" t="s">
        <v>1916</v>
      </c>
      <c r="F118" t="s">
        <v>20</v>
      </c>
      <c r="G118" t="s">
        <v>1916</v>
      </c>
      <c r="H118" t="s">
        <v>26</v>
      </c>
      <c r="J118">
        <v>1985</v>
      </c>
      <c r="K118">
        <f>2026-Table1[[#This Row],[Birthyear]]</f>
        <v>41</v>
      </c>
      <c r="L118" t="s">
        <v>1900</v>
      </c>
      <c r="M118" t="s">
        <v>1300</v>
      </c>
      <c r="N118" t="s">
        <v>1296</v>
      </c>
      <c r="O118" t="s">
        <v>1431</v>
      </c>
      <c r="P118">
        <v>2022</v>
      </c>
      <c r="Q118" t="s">
        <v>1432</v>
      </c>
      <c r="R118" t="s">
        <v>1312</v>
      </c>
      <c r="S118" t="s">
        <v>1433</v>
      </c>
      <c r="T118" t="str">
        <f>CONCATENATE(Table1[[#This Row],[Name]]," ",Table1[[#This Row],[Surname/Studio Name/Artistic Name]])</f>
        <v>Refik Anadol</v>
      </c>
    </row>
    <row r="119" spans="1:20" x14ac:dyDescent="0.35">
      <c r="A119">
        <v>118</v>
      </c>
      <c r="B119" t="s">
        <v>222</v>
      </c>
      <c r="C119" t="s">
        <v>223</v>
      </c>
      <c r="D119" t="s">
        <v>1892</v>
      </c>
      <c r="E119" t="s">
        <v>1916</v>
      </c>
      <c r="F119" t="s">
        <v>20</v>
      </c>
      <c r="G119" t="s">
        <v>1916</v>
      </c>
      <c r="H119" t="s">
        <v>26</v>
      </c>
      <c r="J119">
        <v>1977</v>
      </c>
      <c r="K119">
        <f>2026-Table1[[#This Row],[Birthyear]]</f>
        <v>49</v>
      </c>
      <c r="L119" t="s">
        <v>1900</v>
      </c>
      <c r="M119" t="s">
        <v>1300</v>
      </c>
      <c r="N119" t="s">
        <v>1296</v>
      </c>
      <c r="O119" t="s">
        <v>1434</v>
      </c>
      <c r="P119">
        <v>2022</v>
      </c>
      <c r="Q119" t="s">
        <v>1302</v>
      </c>
      <c r="R119" t="s">
        <v>1355</v>
      </c>
      <c r="S119" t="s">
        <v>1433</v>
      </c>
      <c r="T119" t="str">
        <f>CONCATENATE(Table1[[#This Row],[Name]]," ",Table1[[#This Row],[Surname/Studio Name/Artistic Name]])</f>
        <v>Joël Andrianomearisoa</v>
      </c>
    </row>
    <row r="120" spans="1:20" x14ac:dyDescent="0.35">
      <c r="A120">
        <v>119</v>
      </c>
      <c r="B120" t="s">
        <v>224</v>
      </c>
      <c r="C120" t="s">
        <v>225</v>
      </c>
      <c r="D120" t="s">
        <v>1892</v>
      </c>
      <c r="E120" t="s">
        <v>1916</v>
      </c>
      <c r="F120" t="s">
        <v>25</v>
      </c>
      <c r="G120" t="s">
        <v>1916</v>
      </c>
      <c r="H120" t="s">
        <v>26</v>
      </c>
      <c r="I120" t="s">
        <v>22</v>
      </c>
      <c r="J120">
        <v>1981</v>
      </c>
      <c r="K120">
        <f>2026-Table1[[#This Row],[Birthyear]]</f>
        <v>45</v>
      </c>
      <c r="L120" t="s">
        <v>1293</v>
      </c>
      <c r="M120" t="s">
        <v>1293</v>
      </c>
      <c r="N120" t="s">
        <v>1296</v>
      </c>
      <c r="O120" t="s">
        <v>1328</v>
      </c>
      <c r="Q120" t="s">
        <v>1298</v>
      </c>
      <c r="R120" t="s">
        <v>1435</v>
      </c>
      <c r="S120" t="s">
        <v>1436</v>
      </c>
      <c r="T120" t="str">
        <f>CONCATENATE(Table1[[#This Row],[Name]]," ",Table1[[#This Row],[Surname/Studio Name/Artistic Name]])</f>
        <v>Ahmad Angawi</v>
      </c>
    </row>
    <row r="121" spans="1:20" x14ac:dyDescent="0.35">
      <c r="A121">
        <v>120</v>
      </c>
      <c r="B121" t="s">
        <v>226</v>
      </c>
      <c r="C121" t="s">
        <v>227</v>
      </c>
      <c r="D121" t="s">
        <v>1892</v>
      </c>
      <c r="E121" t="s">
        <v>1916</v>
      </c>
      <c r="F121" t="s">
        <v>20</v>
      </c>
      <c r="G121" t="s">
        <v>1916</v>
      </c>
      <c r="H121" t="s">
        <v>26</v>
      </c>
      <c r="J121">
        <v>1983</v>
      </c>
      <c r="K121">
        <f>2026-Table1[[#This Row],[Birthyear]]</f>
        <v>43</v>
      </c>
      <c r="L121" t="s">
        <v>1290</v>
      </c>
      <c r="M121" t="s">
        <v>1290</v>
      </c>
      <c r="N121" t="s">
        <v>1291</v>
      </c>
      <c r="S121" t="s">
        <v>1437</v>
      </c>
      <c r="T121" t="str">
        <f>CONCATENATE(Table1[[#This Row],[Name]]," ",Table1[[#This Row],[Surname/Studio Name/Artistic Name]])</f>
        <v>Iván Argote</v>
      </c>
    </row>
    <row r="122" spans="1:20" x14ac:dyDescent="0.35">
      <c r="A122">
        <v>121</v>
      </c>
      <c r="B122" t="s">
        <v>229</v>
      </c>
      <c r="C122" t="s">
        <v>230</v>
      </c>
      <c r="D122" t="s">
        <v>1892</v>
      </c>
      <c r="E122" t="s">
        <v>1916</v>
      </c>
      <c r="F122" t="s">
        <v>20</v>
      </c>
      <c r="G122" t="s">
        <v>1916</v>
      </c>
      <c r="H122" t="s">
        <v>21</v>
      </c>
      <c r="J122">
        <v>1988</v>
      </c>
      <c r="K122">
        <f>2026-Table1[[#This Row],[Birthyear]]</f>
        <v>38</v>
      </c>
      <c r="L122" t="s">
        <v>1900</v>
      </c>
      <c r="M122" t="s">
        <v>1317</v>
      </c>
      <c r="N122" t="s">
        <v>1296</v>
      </c>
      <c r="O122" t="s">
        <v>1438</v>
      </c>
      <c r="P122">
        <v>2023</v>
      </c>
      <c r="Q122" t="s">
        <v>1298</v>
      </c>
      <c r="R122" t="s">
        <v>1382</v>
      </c>
      <c r="S122" t="s">
        <v>1341</v>
      </c>
      <c r="T122" t="str">
        <f>CONCATENATE(Table1[[#This Row],[Name]]," ",Table1[[#This Row],[Surname/Studio Name/Artistic Name]])</f>
        <v>Dana-Fiona Armour​</v>
      </c>
    </row>
    <row r="123" spans="1:20" x14ac:dyDescent="0.35">
      <c r="A123">
        <v>122</v>
      </c>
      <c r="B123" t="s">
        <v>231</v>
      </c>
      <c r="C123" t="s">
        <v>232</v>
      </c>
      <c r="D123" t="s">
        <v>1892</v>
      </c>
      <c r="E123" t="s">
        <v>1916</v>
      </c>
      <c r="F123" t="s">
        <v>20</v>
      </c>
      <c r="G123" t="s">
        <v>1916</v>
      </c>
      <c r="H123" t="s">
        <v>26</v>
      </c>
      <c r="J123">
        <v>1980</v>
      </c>
      <c r="K123">
        <f>2026-Table1[[#This Row],[Birthyear]]</f>
        <v>46</v>
      </c>
      <c r="L123" t="s">
        <v>1290</v>
      </c>
      <c r="M123" t="s">
        <v>1290</v>
      </c>
      <c r="N123" t="s">
        <v>1291</v>
      </c>
      <c r="S123" t="s">
        <v>1321</v>
      </c>
      <c r="T123" t="str">
        <f>CONCATENATE(Table1[[#This Row],[Name]]," ",Table1[[#This Row],[Surname/Studio Name/Artistic Name]])</f>
        <v>Daniel Arsham</v>
      </c>
    </row>
    <row r="124" spans="1:20" x14ac:dyDescent="0.35">
      <c r="A124">
        <v>123</v>
      </c>
      <c r="B124" t="s">
        <v>233</v>
      </c>
      <c r="C124" t="s">
        <v>234</v>
      </c>
      <c r="D124" t="s">
        <v>1892</v>
      </c>
      <c r="E124" t="s">
        <v>1916</v>
      </c>
      <c r="F124" t="s">
        <v>20</v>
      </c>
      <c r="G124" t="s">
        <v>1916</v>
      </c>
      <c r="H124" t="s">
        <v>26</v>
      </c>
      <c r="J124">
        <v>1969</v>
      </c>
      <c r="K124">
        <f>2026-Table1[[#This Row],[Birthyear]]</f>
        <v>57</v>
      </c>
      <c r="L124" t="s">
        <v>1914</v>
      </c>
      <c r="M124" t="s">
        <v>1342</v>
      </c>
      <c r="N124" t="s">
        <v>1296</v>
      </c>
      <c r="O124" t="s">
        <v>1439</v>
      </c>
      <c r="P124">
        <v>2025</v>
      </c>
      <c r="Q124" t="s">
        <v>1344</v>
      </c>
      <c r="T124" t="str">
        <f>CONCATENATE(Table1[[#This Row],[Name]]," ",Table1[[#This Row],[Surname/Studio Name/Artistic Name]])</f>
        <v>Hiroyuki Asakawa</v>
      </c>
    </row>
    <row r="125" spans="1:20" x14ac:dyDescent="0.35">
      <c r="A125">
        <v>124</v>
      </c>
      <c r="B125" t="s">
        <v>235</v>
      </c>
      <c r="C125" t="s">
        <v>236</v>
      </c>
      <c r="D125" t="s">
        <v>1892</v>
      </c>
      <c r="E125" t="s">
        <v>1916</v>
      </c>
      <c r="F125" t="s">
        <v>20</v>
      </c>
      <c r="G125" t="s">
        <v>1916</v>
      </c>
      <c r="H125" t="s">
        <v>21</v>
      </c>
      <c r="I125" t="s">
        <v>22</v>
      </c>
      <c r="J125">
        <v>1958</v>
      </c>
      <c r="K125">
        <f>2026-Table1[[#This Row],[Birthyear]]</f>
        <v>68</v>
      </c>
      <c r="L125" t="s">
        <v>1290</v>
      </c>
      <c r="M125" t="s">
        <v>1290</v>
      </c>
      <c r="N125" t="s">
        <v>1387</v>
      </c>
      <c r="O125" t="s">
        <v>1440</v>
      </c>
      <c r="Q125" t="s">
        <v>1306</v>
      </c>
      <c r="R125" t="s">
        <v>1421</v>
      </c>
      <c r="S125" t="s">
        <v>1441</v>
      </c>
      <c r="T125" t="str">
        <f>CONCATENATE(Table1[[#This Row],[Name]]," ",Table1[[#This Row],[Surname/Studio Name/Artistic Name]])</f>
        <v>Raeda Ashour</v>
      </c>
    </row>
    <row r="126" spans="1:20" x14ac:dyDescent="0.35">
      <c r="A126">
        <v>125</v>
      </c>
      <c r="B126" t="s">
        <v>237</v>
      </c>
      <c r="C126" t="s">
        <v>238</v>
      </c>
      <c r="D126" t="s">
        <v>1892</v>
      </c>
      <c r="E126" t="s">
        <v>1916</v>
      </c>
      <c r="F126" t="s">
        <v>25</v>
      </c>
      <c r="G126" t="s">
        <v>1916</v>
      </c>
      <c r="H126" t="s">
        <v>26</v>
      </c>
      <c r="J126">
        <v>1954</v>
      </c>
      <c r="K126">
        <f>2026-Table1[[#This Row],[Birthyear]]</f>
        <v>72</v>
      </c>
      <c r="L126" t="s">
        <v>1293</v>
      </c>
      <c r="M126" t="s">
        <v>1293</v>
      </c>
      <c r="N126" t="s">
        <v>1294</v>
      </c>
      <c r="T126" t="str">
        <f>CONCATENATE(Table1[[#This Row],[Name]]," ",Table1[[#This Row],[Surname/Studio Name/Artistic Name]])</f>
        <v>Pablo Atchugarry</v>
      </c>
    </row>
    <row r="127" spans="1:20" x14ac:dyDescent="0.35">
      <c r="A127">
        <v>126</v>
      </c>
      <c r="B127" t="s">
        <v>239</v>
      </c>
      <c r="D127" t="s">
        <v>1892</v>
      </c>
      <c r="E127" t="s">
        <v>1916</v>
      </c>
      <c r="F127" t="s">
        <v>20</v>
      </c>
      <c r="G127" t="s">
        <v>1916</v>
      </c>
      <c r="H127" t="s">
        <v>26</v>
      </c>
      <c r="I127" t="s">
        <v>22</v>
      </c>
      <c r="J127">
        <v>1982</v>
      </c>
      <c r="K127">
        <f>2026-Table1[[#This Row],[Birthyear]]</f>
        <v>44</v>
      </c>
      <c r="L127" t="s">
        <v>1290</v>
      </c>
      <c r="M127" t="s">
        <v>1290</v>
      </c>
      <c r="N127" t="s">
        <v>1291</v>
      </c>
      <c r="S127" t="s">
        <v>1442</v>
      </c>
      <c r="T127" t="str">
        <f>CONCATENATE(Table1[[#This Row],[Name]]," ",Table1[[#This Row],[Surname/Studio Name/Artistic Name]])</f>
        <v xml:space="preserve"> Athier Mousawi</v>
      </c>
    </row>
    <row r="128" spans="1:20" x14ac:dyDescent="0.35">
      <c r="A128">
        <v>127</v>
      </c>
      <c r="B128" t="s">
        <v>240</v>
      </c>
      <c r="C128" t="s">
        <v>241</v>
      </c>
      <c r="D128" t="s">
        <v>1892</v>
      </c>
      <c r="E128" t="s">
        <v>1916</v>
      </c>
      <c r="F128" t="s">
        <v>25</v>
      </c>
      <c r="G128" t="s">
        <v>1916</v>
      </c>
      <c r="H128" t="s">
        <v>26</v>
      </c>
      <c r="I128" t="s">
        <v>22</v>
      </c>
      <c r="J128">
        <v>1985</v>
      </c>
      <c r="K128">
        <f>2026-Table1[[#This Row],[Birthyear]]</f>
        <v>41</v>
      </c>
      <c r="L128" t="s">
        <v>1290</v>
      </c>
      <c r="M128" t="s">
        <v>1290</v>
      </c>
      <c r="N128" t="s">
        <v>1387</v>
      </c>
      <c r="O128" t="s">
        <v>1443</v>
      </c>
      <c r="Q128" t="s">
        <v>1306</v>
      </c>
      <c r="R128" t="s">
        <v>1444</v>
      </c>
      <c r="S128" t="s">
        <v>1445</v>
      </c>
      <c r="T128" t="str">
        <f>CONCATENATE(Table1[[#This Row],[Name]]," ",Table1[[#This Row],[Surname/Studio Name/Artistic Name]])</f>
        <v xml:space="preserve">Serge Attukwei Clottey </v>
      </c>
    </row>
    <row r="129" spans="1:20" x14ac:dyDescent="0.35">
      <c r="A129">
        <v>128</v>
      </c>
      <c r="B129" t="s">
        <v>243</v>
      </c>
      <c r="C129" t="s">
        <v>244</v>
      </c>
      <c r="D129" t="s">
        <v>1892</v>
      </c>
      <c r="E129" t="s">
        <v>1916</v>
      </c>
      <c r="F129" t="s">
        <v>20</v>
      </c>
      <c r="G129" t="s">
        <v>1916</v>
      </c>
      <c r="H129" t="s">
        <v>26</v>
      </c>
      <c r="J129">
        <v>1971</v>
      </c>
      <c r="K129">
        <f>2026-Table1[[#This Row],[Birthyear]]</f>
        <v>55</v>
      </c>
      <c r="L129" t="s">
        <v>1914</v>
      </c>
      <c r="M129" t="s">
        <v>1361</v>
      </c>
      <c r="N129" t="s">
        <v>1296</v>
      </c>
      <c r="O129" t="s">
        <v>1446</v>
      </c>
      <c r="P129">
        <v>2024</v>
      </c>
      <c r="Q129" t="s">
        <v>1344</v>
      </c>
      <c r="R129" t="s">
        <v>1363</v>
      </c>
      <c r="T129" t="str">
        <f>CONCATENATE(Table1[[#This Row],[Name]]," ",Table1[[#This Row],[Surname/Studio Name/Artistic Name]])</f>
        <v>Arno Avilés</v>
      </c>
    </row>
    <row r="130" spans="1:20" x14ac:dyDescent="0.35">
      <c r="A130">
        <v>129</v>
      </c>
      <c r="B130" t="s">
        <v>246</v>
      </c>
      <c r="C130" t="s">
        <v>247</v>
      </c>
      <c r="D130" t="s">
        <v>1892</v>
      </c>
      <c r="E130" t="s">
        <v>1916</v>
      </c>
      <c r="F130" t="s">
        <v>20</v>
      </c>
      <c r="G130" t="s">
        <v>1916</v>
      </c>
      <c r="H130" t="s">
        <v>21</v>
      </c>
      <c r="J130">
        <v>1987</v>
      </c>
      <c r="K130">
        <f>2026-Table1[[#This Row],[Birthyear]]</f>
        <v>39</v>
      </c>
      <c r="L130" t="s">
        <v>1357</v>
      </c>
      <c r="M130" t="s">
        <v>1357</v>
      </c>
      <c r="N130" t="s">
        <v>1309</v>
      </c>
      <c r="S130" t="s">
        <v>1447</v>
      </c>
      <c r="T130" t="str">
        <f>CONCATENATE(Table1[[#This Row],[Name]]," ",Table1[[#This Row],[Surname/Studio Name/Artistic Name]])</f>
        <v>Dana Awartani</v>
      </c>
    </row>
    <row r="131" spans="1:20" x14ac:dyDescent="0.35">
      <c r="A131">
        <v>130</v>
      </c>
      <c r="B131" t="s">
        <v>248</v>
      </c>
      <c r="C131" t="s">
        <v>249</v>
      </c>
      <c r="D131" t="s">
        <v>1892</v>
      </c>
      <c r="E131" t="s">
        <v>1916</v>
      </c>
      <c r="F131" t="s">
        <v>25</v>
      </c>
      <c r="G131" t="s">
        <v>1916</v>
      </c>
      <c r="H131" t="s">
        <v>21</v>
      </c>
      <c r="J131">
        <v>1946</v>
      </c>
      <c r="K131">
        <f>2026-Table1[[#This Row],[Birthyear]]</f>
        <v>80</v>
      </c>
      <c r="L131" t="s">
        <v>1910</v>
      </c>
      <c r="M131" t="s">
        <v>1406</v>
      </c>
      <c r="N131" t="s">
        <v>1294</v>
      </c>
      <c r="T131" t="str">
        <f>CONCATENATE(Table1[[#This Row],[Name]]," ",Table1[[#This Row],[Surname/Studio Name/Artistic Name]])</f>
        <v>Alice Aycock</v>
      </c>
    </row>
    <row r="132" spans="1:20" x14ac:dyDescent="0.35">
      <c r="A132">
        <v>131</v>
      </c>
      <c r="B132" t="s">
        <v>250</v>
      </c>
      <c r="C132" t="s">
        <v>251</v>
      </c>
      <c r="D132" t="s">
        <v>1892</v>
      </c>
      <c r="E132" t="s">
        <v>1916</v>
      </c>
      <c r="F132" t="s">
        <v>20</v>
      </c>
      <c r="G132" t="s">
        <v>1916</v>
      </c>
      <c r="H132" t="s">
        <v>26</v>
      </c>
      <c r="I132" t="s">
        <v>22</v>
      </c>
      <c r="J132">
        <v>1967</v>
      </c>
      <c r="K132">
        <f>2026-Table1[[#This Row],[Birthyear]]</f>
        <v>59</v>
      </c>
      <c r="L132" t="s">
        <v>1290</v>
      </c>
      <c r="M132" t="s">
        <v>1290</v>
      </c>
      <c r="N132" t="s">
        <v>1291</v>
      </c>
      <c r="S132" t="s">
        <v>1321</v>
      </c>
      <c r="T132" t="str">
        <f>CONCATENATE(Table1[[#This Row],[Name]]," ",Table1[[#This Row],[Surname/Studio Name/Artistic Name]])</f>
        <v>Nicolas Baier</v>
      </c>
    </row>
    <row r="133" spans="1:20" x14ac:dyDescent="0.35">
      <c r="A133">
        <v>132</v>
      </c>
      <c r="B133" t="s">
        <v>253</v>
      </c>
      <c r="C133" t="s">
        <v>254</v>
      </c>
      <c r="D133" t="s">
        <v>1892</v>
      </c>
      <c r="E133" t="s">
        <v>1916</v>
      </c>
      <c r="F133" t="s">
        <v>20</v>
      </c>
      <c r="G133" t="s">
        <v>1916</v>
      </c>
      <c r="H133" t="s">
        <v>21</v>
      </c>
      <c r="I133" t="s">
        <v>22</v>
      </c>
      <c r="J133">
        <v>1955</v>
      </c>
      <c r="K133">
        <f>2026-Table1[[#This Row],[Birthyear]]</f>
        <v>71</v>
      </c>
      <c r="L133" t="s">
        <v>1290</v>
      </c>
      <c r="M133" t="s">
        <v>1290</v>
      </c>
      <c r="N133" t="s">
        <v>1296</v>
      </c>
      <c r="O133" t="s">
        <v>1448</v>
      </c>
      <c r="Q133" t="s">
        <v>1306</v>
      </c>
      <c r="R133" t="s">
        <v>1449</v>
      </c>
      <c r="S133" t="s">
        <v>1450</v>
      </c>
      <c r="T133" t="str">
        <f>CONCATENATE(Table1[[#This Row],[Name]]," ",Table1[[#This Row],[Surname/Studio Name/Artistic Name]])</f>
        <v>Xenobia Bailey</v>
      </c>
    </row>
    <row r="134" spans="1:20" x14ac:dyDescent="0.35">
      <c r="A134">
        <v>133</v>
      </c>
      <c r="B134" t="s">
        <v>255</v>
      </c>
      <c r="C134" t="s">
        <v>256</v>
      </c>
      <c r="D134" t="s">
        <v>1892</v>
      </c>
      <c r="E134" t="s">
        <v>1916</v>
      </c>
      <c r="F134" t="s">
        <v>20</v>
      </c>
      <c r="G134" t="s">
        <v>1916</v>
      </c>
      <c r="H134" t="s">
        <v>26</v>
      </c>
      <c r="I134" t="s">
        <v>22</v>
      </c>
      <c r="J134">
        <v>1967</v>
      </c>
      <c r="K134">
        <f>2026-Table1[[#This Row],[Birthyear]]</f>
        <v>59</v>
      </c>
      <c r="L134" t="s">
        <v>1290</v>
      </c>
      <c r="M134" t="s">
        <v>1290</v>
      </c>
      <c r="N134" t="s">
        <v>1291</v>
      </c>
      <c r="S134" t="s">
        <v>1422</v>
      </c>
      <c r="T134" t="str">
        <f>CONCATENATE(Table1[[#This Row],[Name]]," ",Table1[[#This Row],[Surname/Studio Name/Artistic Name]])</f>
        <v>Ghazi Baker</v>
      </c>
    </row>
    <row r="135" spans="1:20" x14ac:dyDescent="0.35">
      <c r="A135">
        <v>134</v>
      </c>
      <c r="B135" t="s">
        <v>258</v>
      </c>
      <c r="C135" t="s">
        <v>259</v>
      </c>
      <c r="D135" t="s">
        <v>1892</v>
      </c>
      <c r="E135" t="s">
        <v>1916</v>
      </c>
      <c r="F135" t="s">
        <v>20</v>
      </c>
      <c r="G135" t="s">
        <v>1916</v>
      </c>
      <c r="H135" t="s">
        <v>21</v>
      </c>
      <c r="J135">
        <v>1969</v>
      </c>
      <c r="K135">
        <f>2026-Table1[[#This Row],[Birthyear]]</f>
        <v>57</v>
      </c>
      <c r="L135" t="s">
        <v>1900</v>
      </c>
      <c r="M135" t="s">
        <v>1310</v>
      </c>
      <c r="N135" t="s">
        <v>1296</v>
      </c>
      <c r="O135" t="s">
        <v>1451</v>
      </c>
      <c r="P135">
        <v>2007</v>
      </c>
      <c r="Q135" t="s">
        <v>1306</v>
      </c>
      <c r="R135" t="s">
        <v>1312</v>
      </c>
      <c r="S135" t="s">
        <v>1313</v>
      </c>
      <c r="T135" t="str">
        <f>CONCATENATE(Table1[[#This Row],[Name]]," ",Table1[[#This Row],[Surname/Studio Name/Artistic Name]])</f>
        <v>Lara Baladi</v>
      </c>
    </row>
    <row r="136" spans="1:20" x14ac:dyDescent="0.35">
      <c r="A136">
        <v>135</v>
      </c>
      <c r="B136" t="s">
        <v>260</v>
      </c>
      <c r="C136" t="s">
        <v>261</v>
      </c>
      <c r="D136" t="s">
        <v>1892</v>
      </c>
      <c r="E136" t="s">
        <v>1916</v>
      </c>
      <c r="F136" t="s">
        <v>20</v>
      </c>
      <c r="G136" t="s">
        <v>1916</v>
      </c>
      <c r="H136" t="s">
        <v>21</v>
      </c>
      <c r="J136">
        <v>1979</v>
      </c>
      <c r="K136">
        <f>2026-Table1[[#This Row],[Birthyear]]</f>
        <v>47</v>
      </c>
      <c r="L136" t="s">
        <v>1290</v>
      </c>
      <c r="M136" t="s">
        <v>1290</v>
      </c>
      <c r="N136" t="s">
        <v>1291</v>
      </c>
      <c r="S136" t="s">
        <v>1452</v>
      </c>
      <c r="T136" t="str">
        <f>CONCATENATE(Table1[[#This Row],[Name]]," ",Table1[[#This Row],[Surname/Studio Name/Artistic Name]])</f>
        <v>Chiara Banfi</v>
      </c>
    </row>
    <row r="137" spans="1:20" x14ac:dyDescent="0.35">
      <c r="A137">
        <v>136</v>
      </c>
      <c r="B137" t="s">
        <v>263</v>
      </c>
      <c r="C137" t="s">
        <v>264</v>
      </c>
      <c r="D137" t="s">
        <v>1892</v>
      </c>
      <c r="E137" t="s">
        <v>1916</v>
      </c>
      <c r="F137" t="s">
        <v>20</v>
      </c>
      <c r="G137" t="s">
        <v>1916</v>
      </c>
      <c r="H137" t="s">
        <v>26</v>
      </c>
      <c r="I137" t="s">
        <v>22</v>
      </c>
      <c r="J137">
        <v>1947</v>
      </c>
      <c r="K137">
        <f>2026-Table1[[#This Row],[Birthyear]]</f>
        <v>79</v>
      </c>
      <c r="L137" t="s">
        <v>1290</v>
      </c>
      <c r="M137" t="s">
        <v>1290</v>
      </c>
      <c r="N137" t="s">
        <v>1291</v>
      </c>
      <c r="S137" t="s">
        <v>1359</v>
      </c>
      <c r="T137" t="str">
        <f>CONCATENATE(Table1[[#This Row],[Name]]," ",Table1[[#This Row],[Surname/Studio Name/Artistic Name]])</f>
        <v>Rafael Barrios</v>
      </c>
    </row>
    <row r="138" spans="1:20" x14ac:dyDescent="0.35">
      <c r="A138">
        <v>137</v>
      </c>
      <c r="B138" t="s">
        <v>265</v>
      </c>
      <c r="C138" t="s">
        <v>266</v>
      </c>
      <c r="D138" t="s">
        <v>1892</v>
      </c>
      <c r="E138" t="s">
        <v>1916</v>
      </c>
      <c r="F138" t="s">
        <v>20</v>
      </c>
      <c r="G138" t="s">
        <v>1916</v>
      </c>
      <c r="H138" t="s">
        <v>26</v>
      </c>
      <c r="J138">
        <v>1969</v>
      </c>
      <c r="K138">
        <f>2026-Table1[[#This Row],[Birthyear]]</f>
        <v>57</v>
      </c>
      <c r="L138" t="s">
        <v>1315</v>
      </c>
      <c r="M138" t="s">
        <v>1315</v>
      </c>
      <c r="N138" t="s">
        <v>1327</v>
      </c>
      <c r="S138" t="s">
        <v>1331</v>
      </c>
      <c r="T138" t="str">
        <f>CONCATENATE(Table1[[#This Row],[Name]]," ",Table1[[#This Row],[Surname/Studio Name/Artistic Name]])</f>
        <v>Andrey Bartenev</v>
      </c>
    </row>
    <row r="139" spans="1:20" x14ac:dyDescent="0.35">
      <c r="A139">
        <v>138</v>
      </c>
      <c r="B139" t="s">
        <v>267</v>
      </c>
      <c r="C139" t="s">
        <v>268</v>
      </c>
      <c r="D139" t="s">
        <v>1892</v>
      </c>
      <c r="E139" t="s">
        <v>1916</v>
      </c>
      <c r="F139" t="s">
        <v>25</v>
      </c>
      <c r="G139" t="s">
        <v>1916</v>
      </c>
      <c r="H139" t="s">
        <v>21</v>
      </c>
      <c r="J139">
        <v>1954</v>
      </c>
      <c r="K139">
        <f>2026-Table1[[#This Row],[Birthyear]]</f>
        <v>72</v>
      </c>
      <c r="L139" t="s">
        <v>1293</v>
      </c>
      <c r="M139" t="s">
        <v>1293</v>
      </c>
      <c r="N139" t="s">
        <v>1309</v>
      </c>
      <c r="T139" t="str">
        <f>CONCATENATE(Table1[[#This Row],[Name]]," ",Table1[[#This Row],[Surname/Studio Name/Artistic Name]])</f>
        <v>Lynn Basa</v>
      </c>
    </row>
    <row r="140" spans="1:20" x14ac:dyDescent="0.35">
      <c r="A140">
        <v>139</v>
      </c>
      <c r="B140" t="s">
        <v>269</v>
      </c>
      <c r="C140" t="s">
        <v>270</v>
      </c>
      <c r="D140" t="s">
        <v>1892</v>
      </c>
      <c r="E140" t="s">
        <v>1916</v>
      </c>
      <c r="F140" t="s">
        <v>20</v>
      </c>
      <c r="G140" t="s">
        <v>1916</v>
      </c>
      <c r="H140" t="s">
        <v>26</v>
      </c>
      <c r="I140" t="s">
        <v>22</v>
      </c>
      <c r="J140">
        <v>1979</v>
      </c>
      <c r="K140">
        <f>2026-Table1[[#This Row],[Birthyear]]</f>
        <v>47</v>
      </c>
      <c r="L140" t="s">
        <v>1290</v>
      </c>
      <c r="M140" t="s">
        <v>1290</v>
      </c>
      <c r="N140" t="s">
        <v>1291</v>
      </c>
      <c r="S140" t="s">
        <v>1359</v>
      </c>
      <c r="T140" t="str">
        <f>CONCATENATE(Table1[[#This Row],[Name]]," ",Table1[[#This Row],[Surname/Studio Name/Artistic Name]])</f>
        <v>Michelangelo Bastiani</v>
      </c>
    </row>
    <row r="141" spans="1:20" x14ac:dyDescent="0.35">
      <c r="A141">
        <v>140</v>
      </c>
      <c r="B141" t="s">
        <v>271</v>
      </c>
      <c r="C141" t="s">
        <v>272</v>
      </c>
      <c r="D141" t="s">
        <v>1892</v>
      </c>
      <c r="E141" t="s">
        <v>1916</v>
      </c>
      <c r="F141" t="s">
        <v>25</v>
      </c>
      <c r="G141" t="s">
        <v>1916</v>
      </c>
      <c r="H141" t="s">
        <v>26</v>
      </c>
      <c r="J141">
        <v>1955</v>
      </c>
      <c r="K141">
        <f>2026-Table1[[#This Row],[Birthyear]]</f>
        <v>71</v>
      </c>
      <c r="L141" t="s">
        <v>1293</v>
      </c>
      <c r="M141" t="s">
        <v>1293</v>
      </c>
      <c r="N141" t="s">
        <v>1309</v>
      </c>
      <c r="T141" t="str">
        <f>CONCATENATE(Table1[[#This Row],[Name]]," ",Table1[[#This Row],[Surname/Studio Name/Artistic Name]])</f>
        <v>David Batchelor</v>
      </c>
    </row>
    <row r="142" spans="1:20" x14ac:dyDescent="0.35">
      <c r="A142">
        <v>141</v>
      </c>
      <c r="B142" t="s">
        <v>273</v>
      </c>
      <c r="C142" t="s">
        <v>274</v>
      </c>
      <c r="D142" t="s">
        <v>1892</v>
      </c>
      <c r="E142" t="s">
        <v>1916</v>
      </c>
      <c r="F142" t="s">
        <v>20</v>
      </c>
      <c r="G142" t="s">
        <v>1916</v>
      </c>
      <c r="H142" t="s">
        <v>26</v>
      </c>
      <c r="I142" t="s">
        <v>22</v>
      </c>
      <c r="J142">
        <v>1973</v>
      </c>
      <c r="K142">
        <f>2026-Table1[[#This Row],[Birthyear]]</f>
        <v>53</v>
      </c>
      <c r="L142" t="s">
        <v>1900</v>
      </c>
      <c r="M142" t="s">
        <v>1317</v>
      </c>
      <c r="N142" t="s">
        <v>1296</v>
      </c>
      <c r="O142" t="s">
        <v>1453</v>
      </c>
      <c r="Q142" t="s">
        <v>1454</v>
      </c>
      <c r="R142" t="s">
        <v>1455</v>
      </c>
      <c r="T142" t="str">
        <f>CONCATENATE(Table1[[#This Row],[Name]]," ",Table1[[#This Row],[Surname/Studio Name/Artistic Name]])</f>
        <v>Christopher Bauder</v>
      </c>
    </row>
    <row r="143" spans="1:20" x14ac:dyDescent="0.35">
      <c r="A143">
        <v>142</v>
      </c>
      <c r="B143" t="s">
        <v>275</v>
      </c>
      <c r="C143" t="s">
        <v>276</v>
      </c>
      <c r="D143" t="s">
        <v>1892</v>
      </c>
      <c r="E143" t="s">
        <v>1916</v>
      </c>
      <c r="F143" t="s">
        <v>25</v>
      </c>
      <c r="G143" t="s">
        <v>1916</v>
      </c>
      <c r="H143" t="s">
        <v>26</v>
      </c>
      <c r="J143">
        <v>1973</v>
      </c>
      <c r="K143">
        <f>2026-Table1[[#This Row],[Birthyear]]</f>
        <v>53</v>
      </c>
      <c r="L143" t="s">
        <v>1293</v>
      </c>
      <c r="M143" t="s">
        <v>1293</v>
      </c>
      <c r="N143" t="s">
        <v>1294</v>
      </c>
      <c r="T143" t="str">
        <f>CONCATENATE(Table1[[#This Row],[Name]]," ",Table1[[#This Row],[Surname/Studio Name/Artistic Name]])</f>
        <v>Mike Baur</v>
      </c>
    </row>
    <row r="144" spans="1:20" x14ac:dyDescent="0.35">
      <c r="A144">
        <v>143</v>
      </c>
      <c r="B144" t="s">
        <v>277</v>
      </c>
      <c r="C144" t="s">
        <v>278</v>
      </c>
      <c r="D144" t="s">
        <v>1892</v>
      </c>
      <c r="E144" t="s">
        <v>1916</v>
      </c>
      <c r="F144" t="s">
        <v>25</v>
      </c>
      <c r="G144" t="s">
        <v>1916</v>
      </c>
      <c r="H144" t="s">
        <v>26</v>
      </c>
      <c r="J144">
        <v>1939</v>
      </c>
      <c r="K144">
        <f>2026-Table1[[#This Row],[Birthyear]]</f>
        <v>87</v>
      </c>
      <c r="L144" t="s">
        <v>1293</v>
      </c>
      <c r="M144" t="s">
        <v>1293</v>
      </c>
      <c r="N144" t="s">
        <v>1309</v>
      </c>
      <c r="T144" t="str">
        <f>CONCATENATE(Table1[[#This Row],[Name]]," ",Table1[[#This Row],[Surname/Studio Name/Artistic Name]])</f>
        <v>Bruce Beasley</v>
      </c>
    </row>
    <row r="145" spans="1:20" x14ac:dyDescent="0.35">
      <c r="A145">
        <v>144</v>
      </c>
      <c r="B145" t="s">
        <v>279</v>
      </c>
      <c r="C145" t="s">
        <v>73</v>
      </c>
      <c r="D145" t="s">
        <v>1892</v>
      </c>
      <c r="E145" t="s">
        <v>1916</v>
      </c>
      <c r="F145" t="s">
        <v>20</v>
      </c>
      <c r="G145" t="s">
        <v>1916</v>
      </c>
      <c r="H145" t="s">
        <v>21</v>
      </c>
      <c r="I145" t="s">
        <v>22</v>
      </c>
      <c r="J145">
        <v>1977</v>
      </c>
      <c r="K145">
        <f>2026-Table1[[#This Row],[Birthyear]]</f>
        <v>49</v>
      </c>
      <c r="L145" t="s">
        <v>1290</v>
      </c>
      <c r="M145" t="s">
        <v>1290</v>
      </c>
      <c r="N145" t="s">
        <v>1296</v>
      </c>
      <c r="O145" t="s">
        <v>1456</v>
      </c>
      <c r="Q145" t="s">
        <v>1298</v>
      </c>
      <c r="R145" t="s">
        <v>1457</v>
      </c>
      <c r="S145" t="s">
        <v>1458</v>
      </c>
      <c r="T145" t="str">
        <f>CONCATENATE(Table1[[#This Row],[Name]]," ",Table1[[#This Row],[Surname/Studio Name/Artistic Name]])</f>
        <v>Rana Begum</v>
      </c>
    </row>
    <row r="146" spans="1:20" x14ac:dyDescent="0.35">
      <c r="A146">
        <v>145</v>
      </c>
      <c r="B146" t="s">
        <v>280</v>
      </c>
      <c r="C146" t="s">
        <v>167</v>
      </c>
      <c r="D146" t="s">
        <v>1892</v>
      </c>
      <c r="E146" t="s">
        <v>1916</v>
      </c>
      <c r="F146" t="s">
        <v>25</v>
      </c>
      <c r="G146" t="s">
        <v>1916</v>
      </c>
      <c r="H146" t="s">
        <v>21</v>
      </c>
      <c r="J146">
        <v>1981</v>
      </c>
      <c r="K146">
        <f>2026-Table1[[#This Row],[Birthyear]]</f>
        <v>45</v>
      </c>
      <c r="L146" t="s">
        <v>1293</v>
      </c>
      <c r="M146" t="s">
        <v>1293</v>
      </c>
      <c r="N146" t="s">
        <v>1309</v>
      </c>
      <c r="T146" t="str">
        <f>CONCATENATE(Table1[[#This Row],[Name]]," ",Table1[[#This Row],[Surname/Studio Name/Artistic Name]])</f>
        <v>Farah Behbehani</v>
      </c>
    </row>
    <row r="147" spans="1:20" x14ac:dyDescent="0.35">
      <c r="A147">
        <v>146</v>
      </c>
      <c r="B147" t="s">
        <v>281</v>
      </c>
      <c r="C147" t="s">
        <v>282</v>
      </c>
      <c r="D147" t="s">
        <v>1892</v>
      </c>
      <c r="E147" t="s">
        <v>1916</v>
      </c>
      <c r="F147" t="s">
        <v>20</v>
      </c>
      <c r="G147" t="s">
        <v>1916</v>
      </c>
      <c r="H147" t="s">
        <v>26</v>
      </c>
      <c r="J147">
        <v>1964</v>
      </c>
      <c r="K147">
        <f>2026-Table1[[#This Row],[Birthyear]]</f>
        <v>62</v>
      </c>
      <c r="L147" t="s">
        <v>1914</v>
      </c>
      <c r="M147" t="s">
        <v>1396</v>
      </c>
      <c r="N147" t="s">
        <v>1296</v>
      </c>
      <c r="O147" t="s">
        <v>1459</v>
      </c>
      <c r="P147">
        <v>2020</v>
      </c>
      <c r="Q147" t="s">
        <v>1344</v>
      </c>
      <c r="R147" t="s">
        <v>1299</v>
      </c>
      <c r="T147" t="str">
        <f>CONCATENATE(Table1[[#This Row],[Name]]," ",Table1[[#This Row],[Surname/Studio Name/Artistic Name]])</f>
        <v>Raphael Beil</v>
      </c>
    </row>
    <row r="148" spans="1:20" x14ac:dyDescent="0.35">
      <c r="A148">
        <v>147</v>
      </c>
      <c r="B148" t="s">
        <v>283</v>
      </c>
      <c r="C148" t="s">
        <v>284</v>
      </c>
      <c r="D148" t="s">
        <v>1892</v>
      </c>
      <c r="E148" t="s">
        <v>1916</v>
      </c>
      <c r="F148" t="s">
        <v>20</v>
      </c>
      <c r="G148" t="s">
        <v>1916</v>
      </c>
      <c r="H148" t="s">
        <v>26</v>
      </c>
      <c r="J148">
        <v>1939</v>
      </c>
      <c r="K148">
        <f>2026-Table1[[#This Row],[Birthyear]]</f>
        <v>87</v>
      </c>
      <c r="L148" t="s">
        <v>1900</v>
      </c>
      <c r="M148" t="s">
        <v>1300</v>
      </c>
      <c r="N148" t="s">
        <v>1296</v>
      </c>
      <c r="O148" t="s">
        <v>1460</v>
      </c>
      <c r="P148">
        <v>2021</v>
      </c>
      <c r="Q148" t="s">
        <v>1298</v>
      </c>
      <c r="R148" t="s">
        <v>1312</v>
      </c>
      <c r="S148" t="s">
        <v>1399</v>
      </c>
      <c r="T148" t="str">
        <f>CONCATENATE(Table1[[#This Row],[Name]]," ",Table1[[#This Row],[Surname/Studio Name/Artistic Name]])</f>
        <v>Larry Bell</v>
      </c>
    </row>
    <row r="149" spans="1:20" x14ac:dyDescent="0.35">
      <c r="A149">
        <v>148</v>
      </c>
      <c r="B149" t="s">
        <v>285</v>
      </c>
      <c r="C149" t="s">
        <v>286</v>
      </c>
      <c r="D149" t="s">
        <v>1892</v>
      </c>
      <c r="E149" t="s">
        <v>1916</v>
      </c>
      <c r="F149" t="s">
        <v>25</v>
      </c>
      <c r="G149" t="s">
        <v>1916</v>
      </c>
      <c r="H149" t="s">
        <v>21</v>
      </c>
      <c r="I149" t="s">
        <v>22</v>
      </c>
      <c r="J149">
        <v>1986</v>
      </c>
      <c r="K149">
        <f>2026-Table1[[#This Row],[Birthyear]]</f>
        <v>40</v>
      </c>
      <c r="L149" t="s">
        <v>1290</v>
      </c>
      <c r="M149" t="s">
        <v>1290</v>
      </c>
      <c r="N149" t="s">
        <v>1296</v>
      </c>
      <c r="O149" t="s">
        <v>1461</v>
      </c>
      <c r="Q149" t="s">
        <v>1306</v>
      </c>
      <c r="R149" t="s">
        <v>1307</v>
      </c>
      <c r="S149" t="s">
        <v>1308</v>
      </c>
      <c r="T149" t="str">
        <f>CONCATENATE(Table1[[#This Row],[Name]]," ",Table1[[#This Row],[Surname/Studio Name/Artistic Name]])</f>
        <v>Yesmin Ben Khelil</v>
      </c>
    </row>
    <row r="150" spans="1:20" x14ac:dyDescent="0.35">
      <c r="A150">
        <v>149</v>
      </c>
      <c r="B150" t="s">
        <v>288</v>
      </c>
      <c r="C150" t="s">
        <v>289</v>
      </c>
      <c r="D150" t="s">
        <v>1892</v>
      </c>
      <c r="E150" t="s">
        <v>1916</v>
      </c>
      <c r="F150" t="s">
        <v>20</v>
      </c>
      <c r="G150" t="s">
        <v>1916</v>
      </c>
      <c r="H150" t="s">
        <v>21</v>
      </c>
      <c r="J150">
        <v>1979</v>
      </c>
      <c r="K150">
        <f>2026-Table1[[#This Row],[Birthyear]]</f>
        <v>47</v>
      </c>
      <c r="L150" t="s">
        <v>1900</v>
      </c>
      <c r="M150" t="s">
        <v>1317</v>
      </c>
      <c r="N150" t="s">
        <v>1296</v>
      </c>
      <c r="O150" t="s">
        <v>1462</v>
      </c>
      <c r="P150">
        <v>2023</v>
      </c>
      <c r="Q150" t="s">
        <v>1319</v>
      </c>
      <c r="R150" t="s">
        <v>1312</v>
      </c>
      <c r="S150" t="s">
        <v>1320</v>
      </c>
      <c r="T150" t="str">
        <f>CONCATENATE(Table1[[#This Row],[Name]]," ",Table1[[#This Row],[Surname/Studio Name/Artistic Name]])</f>
        <v>Cecilia Bengolea​</v>
      </c>
    </row>
    <row r="151" spans="1:20" x14ac:dyDescent="0.35">
      <c r="A151">
        <v>150</v>
      </c>
      <c r="B151" t="s">
        <v>291</v>
      </c>
      <c r="C151" t="s">
        <v>292</v>
      </c>
      <c r="D151" t="s">
        <v>1892</v>
      </c>
      <c r="E151" t="s">
        <v>1916</v>
      </c>
      <c r="F151" t="s">
        <v>20</v>
      </c>
      <c r="G151" t="s">
        <v>1916</v>
      </c>
      <c r="H151" t="s">
        <v>26</v>
      </c>
      <c r="I151" t="s">
        <v>22</v>
      </c>
      <c r="J151">
        <v>1988</v>
      </c>
      <c r="K151">
        <f>2026-Table1[[#This Row],[Birthyear]]</f>
        <v>38</v>
      </c>
      <c r="L151" t="s">
        <v>1290</v>
      </c>
      <c r="M151" t="s">
        <v>1290</v>
      </c>
      <c r="N151" t="s">
        <v>1291</v>
      </c>
      <c r="S151" t="s">
        <v>1463</v>
      </c>
      <c r="T151" t="str">
        <f>CONCATENATE(Table1[[#This Row],[Name]]," ",Table1[[#This Row],[Surname/Studio Name/Artistic Name]])</f>
        <v>Christopher Joshua Benton</v>
      </c>
    </row>
    <row r="152" spans="1:20" x14ac:dyDescent="0.35">
      <c r="A152">
        <v>151</v>
      </c>
      <c r="B152" t="s">
        <v>293</v>
      </c>
      <c r="C152" t="s">
        <v>294</v>
      </c>
      <c r="D152" t="s">
        <v>1892</v>
      </c>
      <c r="E152" t="s">
        <v>1916</v>
      </c>
      <c r="F152" t="s">
        <v>20</v>
      </c>
      <c r="G152" t="s">
        <v>1916</v>
      </c>
      <c r="H152" t="s">
        <v>26</v>
      </c>
      <c r="J152">
        <v>1966</v>
      </c>
      <c r="K152">
        <f>2026-Table1[[#This Row],[Birthyear]]</f>
        <v>60</v>
      </c>
      <c r="L152" t="s">
        <v>1315</v>
      </c>
      <c r="M152" t="s">
        <v>1315</v>
      </c>
      <c r="N152" t="s">
        <v>1291</v>
      </c>
      <c r="S152" t="s">
        <v>1316</v>
      </c>
      <c r="T152" t="str">
        <f>CONCATENATE(Table1[[#This Row],[Name]]," ",Table1[[#This Row],[Surname/Studio Name/Artistic Name]])</f>
        <v>Arturo Berned</v>
      </c>
    </row>
    <row r="153" spans="1:20" x14ac:dyDescent="0.35">
      <c r="A153">
        <v>152</v>
      </c>
      <c r="B153" t="s">
        <v>295</v>
      </c>
      <c r="C153" t="s">
        <v>296</v>
      </c>
      <c r="D153" t="s">
        <v>1892</v>
      </c>
      <c r="E153" t="s">
        <v>1916</v>
      </c>
      <c r="F153" t="s">
        <v>20</v>
      </c>
      <c r="G153" t="s">
        <v>1916</v>
      </c>
      <c r="H153" t="s">
        <v>26</v>
      </c>
      <c r="J153">
        <v>1986</v>
      </c>
      <c r="K153">
        <f>2026-Table1[[#This Row],[Birthyear]]</f>
        <v>40</v>
      </c>
      <c r="L153" t="s">
        <v>1290</v>
      </c>
      <c r="M153" t="s">
        <v>1290</v>
      </c>
      <c r="N153" t="s">
        <v>1291</v>
      </c>
      <c r="S153" t="s">
        <v>1464</v>
      </c>
      <c r="T153" t="str">
        <f>CONCATENATE(Table1[[#This Row],[Name]]," ",Table1[[#This Row],[Surname/Studio Name/Artistic Name]])</f>
        <v>Hicham Berrada</v>
      </c>
    </row>
    <row r="154" spans="1:20" x14ac:dyDescent="0.35">
      <c r="A154">
        <v>153</v>
      </c>
      <c r="B154" t="s">
        <v>298</v>
      </c>
      <c r="C154" t="s">
        <v>299</v>
      </c>
      <c r="D154" t="s">
        <v>1892</v>
      </c>
      <c r="E154" t="s">
        <v>1916</v>
      </c>
      <c r="F154" t="s">
        <v>20</v>
      </c>
      <c r="G154" t="s">
        <v>1916</v>
      </c>
      <c r="H154" t="s">
        <v>26</v>
      </c>
      <c r="J154">
        <v>1963</v>
      </c>
      <c r="K154">
        <f>2026-Table1[[#This Row],[Birthyear]]</f>
        <v>63</v>
      </c>
      <c r="L154" t="s">
        <v>1900</v>
      </c>
      <c r="M154" t="s">
        <v>1295</v>
      </c>
      <c r="N154" t="s">
        <v>1296</v>
      </c>
      <c r="O154" t="s">
        <v>1465</v>
      </c>
      <c r="P154">
        <v>2025</v>
      </c>
      <c r="Q154" t="s">
        <v>1466</v>
      </c>
      <c r="R154" t="s">
        <v>1467</v>
      </c>
      <c r="T154" t="str">
        <f>CONCATENATE(Table1[[#This Row],[Name]]," ",Table1[[#This Row],[Surname/Studio Name/Artistic Name]])</f>
        <v>Christophe Berthonneau</v>
      </c>
    </row>
    <row r="155" spans="1:20" x14ac:dyDescent="0.35">
      <c r="A155">
        <v>154</v>
      </c>
      <c r="B155" t="s">
        <v>301</v>
      </c>
      <c r="C155" t="s">
        <v>302</v>
      </c>
      <c r="D155" t="s">
        <v>1892</v>
      </c>
      <c r="E155" t="s">
        <v>1916</v>
      </c>
      <c r="F155" t="s">
        <v>20</v>
      </c>
      <c r="G155" t="s">
        <v>1916</v>
      </c>
      <c r="H155" t="s">
        <v>26</v>
      </c>
      <c r="J155">
        <v>1947</v>
      </c>
      <c r="K155">
        <f>2026-Table1[[#This Row],[Birthyear]]</f>
        <v>79</v>
      </c>
      <c r="L155" t="s">
        <v>1290</v>
      </c>
      <c r="M155" t="s">
        <v>1290</v>
      </c>
      <c r="N155" t="s">
        <v>1294</v>
      </c>
      <c r="S155" t="s">
        <v>1468</v>
      </c>
      <c r="T155" t="str">
        <f>CONCATENATE(Table1[[#This Row],[Name]]," ",Table1[[#This Row],[Surname/Studio Name/Artistic Name]])</f>
        <v>Khairy Beshara</v>
      </c>
    </row>
    <row r="156" spans="1:20" x14ac:dyDescent="0.35">
      <c r="A156">
        <v>155</v>
      </c>
      <c r="B156" t="s">
        <v>303</v>
      </c>
      <c r="C156" t="s">
        <v>304</v>
      </c>
      <c r="D156" t="s">
        <v>1892</v>
      </c>
      <c r="E156" t="s">
        <v>1916</v>
      </c>
      <c r="F156" t="s">
        <v>20</v>
      </c>
      <c r="G156" t="s">
        <v>1916</v>
      </c>
      <c r="H156" t="s">
        <v>26</v>
      </c>
      <c r="J156">
        <v>1982</v>
      </c>
      <c r="K156">
        <f>2026-Table1[[#This Row],[Birthyear]]</f>
        <v>44</v>
      </c>
      <c r="L156" t="s">
        <v>1914</v>
      </c>
      <c r="M156" t="s">
        <v>1396</v>
      </c>
      <c r="N156" t="s">
        <v>1296</v>
      </c>
      <c r="O156" t="s">
        <v>1469</v>
      </c>
      <c r="P156">
        <v>2020</v>
      </c>
      <c r="Q156" t="s">
        <v>1344</v>
      </c>
      <c r="R156" t="s">
        <v>1299</v>
      </c>
      <c r="T156" t="str">
        <f>CONCATENATE(Table1[[#This Row],[Name]]," ",Table1[[#This Row],[Surname/Studio Name/Artistic Name]])</f>
        <v>Wang Biao</v>
      </c>
    </row>
    <row r="157" spans="1:20" x14ac:dyDescent="0.35">
      <c r="A157">
        <v>156</v>
      </c>
      <c r="B157" t="s">
        <v>305</v>
      </c>
      <c r="C157" t="s">
        <v>306</v>
      </c>
      <c r="D157" t="s">
        <v>1892</v>
      </c>
      <c r="E157" t="s">
        <v>1916</v>
      </c>
      <c r="F157" t="s">
        <v>20</v>
      </c>
      <c r="G157" t="s">
        <v>1916</v>
      </c>
      <c r="H157" t="s">
        <v>26</v>
      </c>
      <c r="I157" t="s">
        <v>22</v>
      </c>
      <c r="J157">
        <v>1971</v>
      </c>
      <c r="K157">
        <f>2026-Table1[[#This Row],[Birthyear]]</f>
        <v>55</v>
      </c>
      <c r="L157" t="s">
        <v>1315</v>
      </c>
      <c r="M157" t="s">
        <v>1315</v>
      </c>
      <c r="N157" t="s">
        <v>1327</v>
      </c>
      <c r="S157" t="s">
        <v>1470</v>
      </c>
      <c r="T157" t="str">
        <f>CONCATENATE(Table1[[#This Row],[Name]]," ",Table1[[#This Row],[Surname/Studio Name/Artistic Name]])</f>
        <v>Sultan Bin Fahad</v>
      </c>
    </row>
    <row r="158" spans="1:20" x14ac:dyDescent="0.35">
      <c r="A158">
        <v>157</v>
      </c>
      <c r="B158" t="s">
        <v>307</v>
      </c>
      <c r="C158" t="s">
        <v>308</v>
      </c>
      <c r="D158" t="s">
        <v>1892</v>
      </c>
      <c r="E158" t="s">
        <v>1916</v>
      </c>
      <c r="F158" t="s">
        <v>20</v>
      </c>
      <c r="G158" t="s">
        <v>1916</v>
      </c>
      <c r="H158" t="s">
        <v>26</v>
      </c>
      <c r="I158" t="s">
        <v>22</v>
      </c>
      <c r="J158">
        <v>1956</v>
      </c>
      <c r="K158">
        <f>2026-Table1[[#This Row],[Birthyear]]</f>
        <v>70</v>
      </c>
      <c r="L158" t="s">
        <v>1290</v>
      </c>
      <c r="M158" t="s">
        <v>1290</v>
      </c>
      <c r="N158" t="s">
        <v>1291</v>
      </c>
      <c r="S158" t="s">
        <v>1422</v>
      </c>
      <c r="T158" t="str">
        <f>CONCATENATE(Table1[[#This Row],[Name]]," ",Table1[[#This Row],[Surname/Studio Name/Artistic Name]])</f>
        <v>Jean-Charles Blais</v>
      </c>
    </row>
    <row r="159" spans="1:20" x14ac:dyDescent="0.35">
      <c r="A159">
        <v>158</v>
      </c>
      <c r="B159" t="s">
        <v>309</v>
      </c>
      <c r="C159" t="s">
        <v>310</v>
      </c>
      <c r="D159" t="s">
        <v>1892</v>
      </c>
      <c r="E159" t="s">
        <v>1916</v>
      </c>
      <c r="F159" t="s">
        <v>25</v>
      </c>
      <c r="G159" t="s">
        <v>1916</v>
      </c>
      <c r="H159" t="s">
        <v>26</v>
      </c>
      <c r="I159" t="s">
        <v>22</v>
      </c>
      <c r="J159">
        <v>1965</v>
      </c>
      <c r="K159">
        <f>2026-Table1[[#This Row],[Birthyear]]</f>
        <v>61</v>
      </c>
      <c r="L159" t="s">
        <v>1290</v>
      </c>
      <c r="M159" t="s">
        <v>1290</v>
      </c>
      <c r="N159" t="s">
        <v>1291</v>
      </c>
      <c r="S159" t="s">
        <v>1471</v>
      </c>
      <c r="T159" t="str">
        <f>CONCATENATE(Table1[[#This Row],[Name]]," ",Table1[[#This Row],[Surname/Studio Name/Artistic Name]])</f>
        <v>Greg Bogin</v>
      </c>
    </row>
    <row r="160" spans="1:20" x14ac:dyDescent="0.35">
      <c r="A160">
        <v>159</v>
      </c>
      <c r="B160" t="s">
        <v>311</v>
      </c>
      <c r="C160" t="s">
        <v>312</v>
      </c>
      <c r="D160" t="s">
        <v>1892</v>
      </c>
      <c r="E160" t="s">
        <v>1916</v>
      </c>
      <c r="F160" t="s">
        <v>25</v>
      </c>
      <c r="G160" t="s">
        <v>1916</v>
      </c>
      <c r="H160" t="s">
        <v>26</v>
      </c>
      <c r="J160">
        <v>1941</v>
      </c>
      <c r="K160">
        <f>2026-Table1[[#This Row],[Birthyear]]</f>
        <v>85</v>
      </c>
      <c r="L160" t="s">
        <v>1293</v>
      </c>
      <c r="M160" t="s">
        <v>1293</v>
      </c>
      <c r="N160" t="s">
        <v>1294</v>
      </c>
      <c r="T160" t="str">
        <f>CONCATENATE(Table1[[#This Row],[Name]]," ",Table1[[#This Row],[Surname/Studio Name/Artistic Name]])</f>
        <v>Leif Bolter</v>
      </c>
    </row>
    <row r="161" spans="1:20" x14ac:dyDescent="0.35">
      <c r="A161">
        <v>160</v>
      </c>
      <c r="B161" t="s">
        <v>314</v>
      </c>
      <c r="C161" t="s">
        <v>315</v>
      </c>
      <c r="D161" t="s">
        <v>1892</v>
      </c>
      <c r="E161" t="s">
        <v>1916</v>
      </c>
      <c r="F161" t="s">
        <v>20</v>
      </c>
      <c r="G161" t="s">
        <v>1916</v>
      </c>
      <c r="H161" t="s">
        <v>21</v>
      </c>
      <c r="J161">
        <v>1986</v>
      </c>
      <c r="K161">
        <f>2026-Table1[[#This Row],[Birthyear]]</f>
        <v>40</v>
      </c>
      <c r="L161" t="s">
        <v>1900</v>
      </c>
      <c r="M161" t="s">
        <v>1317</v>
      </c>
      <c r="N161" t="s">
        <v>1296</v>
      </c>
      <c r="O161" t="s">
        <v>1472</v>
      </c>
      <c r="P161" t="s">
        <v>1473</v>
      </c>
      <c r="Q161" t="s">
        <v>1348</v>
      </c>
      <c r="R161" t="s">
        <v>1312</v>
      </c>
      <c r="S161" t="s">
        <v>1341</v>
      </c>
      <c r="T161" t="str">
        <f>CONCATENATE(Table1[[#This Row],[Name]]," ",Table1[[#This Row],[Surname/Studio Name/Artistic Name]])</f>
        <v>Bianca Bondi​</v>
      </c>
    </row>
    <row r="162" spans="1:20" x14ac:dyDescent="0.35">
      <c r="A162">
        <v>161</v>
      </c>
      <c r="B162" t="s">
        <v>317</v>
      </c>
      <c r="C162" t="s">
        <v>318</v>
      </c>
      <c r="D162" t="s">
        <v>1892</v>
      </c>
      <c r="E162" t="s">
        <v>1916</v>
      </c>
      <c r="F162" t="s">
        <v>20</v>
      </c>
      <c r="G162" t="s">
        <v>1916</v>
      </c>
      <c r="H162" t="s">
        <v>26</v>
      </c>
      <c r="J162">
        <v>1971</v>
      </c>
      <c r="K162">
        <f>2026-Table1[[#This Row],[Birthyear]]</f>
        <v>55</v>
      </c>
      <c r="L162" t="s">
        <v>1290</v>
      </c>
      <c r="M162" t="s">
        <v>1290</v>
      </c>
      <c r="N162" t="s">
        <v>1296</v>
      </c>
      <c r="O162" t="s">
        <v>1474</v>
      </c>
      <c r="P162">
        <v>2022</v>
      </c>
      <c r="Q162" t="s">
        <v>1302</v>
      </c>
      <c r="R162" t="s">
        <v>1475</v>
      </c>
      <c r="S162" t="s">
        <v>1476</v>
      </c>
      <c r="T162" t="str">
        <f>CONCATENATE(Table1[[#This Row],[Name]]," ",Table1[[#This Row],[Surname/Studio Name/Artistic Name]])</f>
        <v>Angelo Bonello</v>
      </c>
    </row>
    <row r="163" spans="1:20" x14ac:dyDescent="0.35">
      <c r="A163">
        <v>162</v>
      </c>
      <c r="B163" t="s">
        <v>319</v>
      </c>
      <c r="C163" t="s">
        <v>320</v>
      </c>
      <c r="D163" t="s">
        <v>1892</v>
      </c>
      <c r="E163" t="s">
        <v>1916</v>
      </c>
      <c r="F163" t="s">
        <v>20</v>
      </c>
      <c r="G163" t="s">
        <v>1916</v>
      </c>
      <c r="H163" t="s">
        <v>26</v>
      </c>
      <c r="J163">
        <v>1977</v>
      </c>
      <c r="K163">
        <f>2026-Table1[[#This Row],[Birthyear]]</f>
        <v>49</v>
      </c>
      <c r="L163" t="s">
        <v>1900</v>
      </c>
      <c r="M163" t="s">
        <v>1295</v>
      </c>
      <c r="N163" t="s">
        <v>1296</v>
      </c>
      <c r="O163" t="s">
        <v>1477</v>
      </c>
      <c r="P163">
        <v>2025</v>
      </c>
      <c r="Q163" t="s">
        <v>1478</v>
      </c>
      <c r="R163" t="s">
        <v>1455</v>
      </c>
      <c r="T163" t="str">
        <f>CONCATENATE(Table1[[#This Row],[Name]]," ",Table1[[#This Row],[Surname/Studio Name/Artistic Name]])</f>
        <v>László Zsolt Bordos</v>
      </c>
    </row>
    <row r="164" spans="1:20" x14ac:dyDescent="0.35">
      <c r="A164">
        <v>163</v>
      </c>
      <c r="B164" t="s">
        <v>321</v>
      </c>
      <c r="C164" t="s">
        <v>322</v>
      </c>
      <c r="D164" t="s">
        <v>1892</v>
      </c>
      <c r="E164" t="s">
        <v>1916</v>
      </c>
      <c r="F164" t="s">
        <v>25</v>
      </c>
      <c r="G164" t="s">
        <v>1916</v>
      </c>
      <c r="H164" t="s">
        <v>21</v>
      </c>
      <c r="I164" t="s">
        <v>22</v>
      </c>
      <c r="J164">
        <v>1977</v>
      </c>
      <c r="K164">
        <f>2026-Table1[[#This Row],[Birthyear]]</f>
        <v>49</v>
      </c>
      <c r="L164" t="s">
        <v>1290</v>
      </c>
      <c r="M164" t="s">
        <v>1290</v>
      </c>
      <c r="N164" t="s">
        <v>1291</v>
      </c>
      <c r="S164" t="s">
        <v>1359</v>
      </c>
      <c r="T164" t="str">
        <f>CONCATENATE(Table1[[#This Row],[Name]]," ",Table1[[#This Row],[Surname/Studio Name/Artistic Name]])</f>
        <v>Giselle Borras</v>
      </c>
    </row>
    <row r="165" spans="1:20" x14ac:dyDescent="0.35">
      <c r="A165">
        <v>164</v>
      </c>
      <c r="B165" t="s">
        <v>323</v>
      </c>
      <c r="C165" t="s">
        <v>324</v>
      </c>
      <c r="D165" t="s">
        <v>1892</v>
      </c>
      <c r="E165" t="s">
        <v>1916</v>
      </c>
      <c r="F165" t="s">
        <v>20</v>
      </c>
      <c r="G165" t="s">
        <v>1916</v>
      </c>
      <c r="H165" t="s">
        <v>21</v>
      </c>
      <c r="J165">
        <v>1984</v>
      </c>
      <c r="K165">
        <f>2026-Table1[[#This Row],[Birthyear]]</f>
        <v>42</v>
      </c>
      <c r="L165" t="s">
        <v>1914</v>
      </c>
      <c r="M165" t="s">
        <v>1342</v>
      </c>
      <c r="N165" t="s">
        <v>1296</v>
      </c>
      <c r="O165" t="s">
        <v>1479</v>
      </c>
      <c r="P165">
        <v>2025</v>
      </c>
      <c r="Q165" t="s">
        <v>1344</v>
      </c>
      <c r="T165" t="str">
        <f>CONCATENATE(Table1[[#This Row],[Name]]," ",Table1[[#This Row],[Surname/Studio Name/Artistic Name]])</f>
        <v>Susana Botana</v>
      </c>
    </row>
    <row r="166" spans="1:20" x14ac:dyDescent="0.35">
      <c r="A166">
        <v>165</v>
      </c>
      <c r="B166" t="s">
        <v>325</v>
      </c>
      <c r="C166" t="s">
        <v>326</v>
      </c>
      <c r="D166" t="s">
        <v>1892</v>
      </c>
      <c r="E166" t="s">
        <v>1916</v>
      </c>
      <c r="F166" t="s">
        <v>20</v>
      </c>
      <c r="G166" t="s">
        <v>1916</v>
      </c>
      <c r="H166" t="s">
        <v>26</v>
      </c>
      <c r="I166" t="s">
        <v>22</v>
      </c>
      <c r="J166">
        <v>1975</v>
      </c>
      <c r="K166">
        <f>2026-Table1[[#This Row],[Birthyear]]</f>
        <v>51</v>
      </c>
      <c r="L166" t="s">
        <v>1290</v>
      </c>
      <c r="M166" t="s">
        <v>1290</v>
      </c>
      <c r="N166" t="s">
        <v>1291</v>
      </c>
      <c r="S166" t="s">
        <v>1314</v>
      </c>
      <c r="T166" t="str">
        <f>CONCATENATE(Table1[[#This Row],[Name]]," ",Table1[[#This Row],[Surname/Studio Name/Artistic Name]])</f>
        <v>M'barek Bouhchichi</v>
      </c>
    </row>
    <row r="167" spans="1:20" x14ac:dyDescent="0.35">
      <c r="A167">
        <v>166</v>
      </c>
      <c r="B167" t="s">
        <v>327</v>
      </c>
      <c r="C167" t="s">
        <v>328</v>
      </c>
      <c r="D167" t="s">
        <v>1892</v>
      </c>
      <c r="E167" t="s">
        <v>1916</v>
      </c>
      <c r="F167" t="s">
        <v>20</v>
      </c>
      <c r="G167" t="s">
        <v>1916</v>
      </c>
      <c r="H167" t="s">
        <v>26</v>
      </c>
      <c r="I167" t="s">
        <v>22</v>
      </c>
      <c r="J167">
        <v>1983</v>
      </c>
      <c r="K167">
        <f>2026-Table1[[#This Row],[Birthyear]]</f>
        <v>43</v>
      </c>
      <c r="L167" t="s">
        <v>1290</v>
      </c>
      <c r="M167" t="s">
        <v>1290</v>
      </c>
      <c r="N167" t="s">
        <v>1291</v>
      </c>
      <c r="S167" t="s">
        <v>1314</v>
      </c>
      <c r="T167" t="str">
        <f>CONCATENATE(Table1[[#This Row],[Name]]," ",Table1[[#This Row],[Surname/Studio Name/Artistic Name]])</f>
        <v>Miguel Braceli</v>
      </c>
    </row>
    <row r="168" spans="1:20" x14ac:dyDescent="0.35">
      <c r="A168">
        <v>167</v>
      </c>
      <c r="B168" t="s">
        <v>329</v>
      </c>
      <c r="C168" t="s">
        <v>38</v>
      </c>
      <c r="D168" t="s">
        <v>1892</v>
      </c>
      <c r="E168" t="s">
        <v>1916</v>
      </c>
      <c r="F168" t="s">
        <v>20</v>
      </c>
      <c r="G168" t="s">
        <v>1916</v>
      </c>
      <c r="H168" t="s">
        <v>21</v>
      </c>
      <c r="I168" t="s">
        <v>22</v>
      </c>
      <c r="J168">
        <v>1993</v>
      </c>
      <c r="K168">
        <f>2026-Table1[[#This Row],[Birthyear]]</f>
        <v>33</v>
      </c>
      <c r="L168" t="s">
        <v>1315</v>
      </c>
      <c r="M168" t="s">
        <v>1315</v>
      </c>
      <c r="N168" t="s">
        <v>1327</v>
      </c>
      <c r="S168" t="s">
        <v>1336</v>
      </c>
      <c r="T168" t="str">
        <f>CONCATENATE(Table1[[#This Row],[Name]]," ",Table1[[#This Row],[Surname/Studio Name/Artistic Name]])</f>
        <v>Sarah Brahim</v>
      </c>
    </row>
    <row r="169" spans="1:20" x14ac:dyDescent="0.35">
      <c r="A169">
        <v>168</v>
      </c>
      <c r="B169" t="s">
        <v>330</v>
      </c>
      <c r="C169" t="s">
        <v>331</v>
      </c>
      <c r="D169" t="s">
        <v>1892</v>
      </c>
      <c r="E169" t="s">
        <v>1916</v>
      </c>
      <c r="F169" t="s">
        <v>20</v>
      </c>
      <c r="G169" t="s">
        <v>1916</v>
      </c>
      <c r="H169" t="s">
        <v>26</v>
      </c>
      <c r="J169">
        <v>1975</v>
      </c>
      <c r="K169">
        <f>2026-Table1[[#This Row],[Birthyear]]</f>
        <v>51</v>
      </c>
      <c r="L169" t="s">
        <v>1900</v>
      </c>
      <c r="M169" t="s">
        <v>1317</v>
      </c>
      <c r="N169" t="s">
        <v>1296</v>
      </c>
      <c r="O169" t="s">
        <v>1480</v>
      </c>
      <c r="P169">
        <v>2023</v>
      </c>
      <c r="Q169" t="s">
        <v>1302</v>
      </c>
      <c r="R169" t="s">
        <v>1312</v>
      </c>
      <c r="S169" t="s">
        <v>1341</v>
      </c>
      <c r="T169" t="str">
        <f>CONCATENATE(Table1[[#This Row],[Name]]," ",Table1[[#This Row],[Surname/Studio Name/Artistic Name]])</f>
        <v>Stefan Brüggemann​</v>
      </c>
    </row>
    <row r="170" spans="1:20" x14ac:dyDescent="0.35">
      <c r="A170">
        <v>169</v>
      </c>
      <c r="B170" t="s">
        <v>332</v>
      </c>
      <c r="C170" t="s">
        <v>333</v>
      </c>
      <c r="D170" t="s">
        <v>1892</v>
      </c>
      <c r="E170" t="s">
        <v>1916</v>
      </c>
      <c r="F170" t="s">
        <v>20</v>
      </c>
      <c r="G170" t="s">
        <v>1916</v>
      </c>
      <c r="H170" t="s">
        <v>26</v>
      </c>
      <c r="J170">
        <v>1953</v>
      </c>
      <c r="K170">
        <f>2026-Table1[[#This Row],[Birthyear]]</f>
        <v>73</v>
      </c>
      <c r="L170" t="s">
        <v>1914</v>
      </c>
      <c r="M170" t="s">
        <v>1396</v>
      </c>
      <c r="N170" t="s">
        <v>1296</v>
      </c>
      <c r="O170" t="s">
        <v>1481</v>
      </c>
      <c r="P170">
        <v>2020</v>
      </c>
      <c r="Q170" t="s">
        <v>1344</v>
      </c>
      <c r="R170" t="s">
        <v>1299</v>
      </c>
      <c r="T170" t="str">
        <f>CONCATENATE(Table1[[#This Row],[Name]]," ",Table1[[#This Row],[Surname/Studio Name/Artistic Name]])</f>
        <v>Renato Brunello</v>
      </c>
    </row>
    <row r="171" spans="1:20" x14ac:dyDescent="0.35">
      <c r="A171">
        <v>170</v>
      </c>
      <c r="B171" t="s">
        <v>334</v>
      </c>
      <c r="C171" t="s">
        <v>335</v>
      </c>
      <c r="D171" t="s">
        <v>1892</v>
      </c>
      <c r="E171" t="s">
        <v>1916</v>
      </c>
      <c r="F171" t="s">
        <v>25</v>
      </c>
      <c r="G171" t="s">
        <v>1916</v>
      </c>
      <c r="H171" t="s">
        <v>26</v>
      </c>
      <c r="J171">
        <v>1951</v>
      </c>
      <c r="K171">
        <f>2026-Table1[[#This Row],[Birthyear]]</f>
        <v>75</v>
      </c>
      <c r="L171" t="s">
        <v>1293</v>
      </c>
      <c r="M171" t="s">
        <v>1293</v>
      </c>
      <c r="N171" t="s">
        <v>1309</v>
      </c>
      <c r="T171" t="str">
        <f>CONCATENATE(Table1[[#This Row],[Name]]," ",Table1[[#This Row],[Surname/Studio Name/Artistic Name]])</f>
        <v>Jon Buck</v>
      </c>
    </row>
    <row r="172" spans="1:20" x14ac:dyDescent="0.35">
      <c r="A172">
        <v>171</v>
      </c>
      <c r="B172" t="s">
        <v>336</v>
      </c>
      <c r="C172" t="s">
        <v>337</v>
      </c>
      <c r="D172" t="s">
        <v>1892</v>
      </c>
      <c r="E172" t="s">
        <v>1916</v>
      </c>
      <c r="F172" t="s">
        <v>20</v>
      </c>
      <c r="G172" t="s">
        <v>1916</v>
      </c>
      <c r="H172" t="s">
        <v>26</v>
      </c>
      <c r="J172">
        <v>1982</v>
      </c>
      <c r="K172">
        <f>2026-Table1[[#This Row],[Birthyear]]</f>
        <v>44</v>
      </c>
      <c r="L172" t="s">
        <v>1315</v>
      </c>
      <c r="M172" t="s">
        <v>1315</v>
      </c>
      <c r="N172" t="s">
        <v>1327</v>
      </c>
      <c r="S172" t="s">
        <v>1316</v>
      </c>
      <c r="T172" t="str">
        <f>CONCATENATE(Table1[[#This Row],[Name]]," ",Table1[[#This Row],[Surname/Studio Name/Artistic Name]])</f>
        <v>Sebastian Burdon</v>
      </c>
    </row>
    <row r="173" spans="1:20" x14ac:dyDescent="0.35">
      <c r="A173">
        <v>172</v>
      </c>
      <c r="B173" t="s">
        <v>339</v>
      </c>
      <c r="C173" t="s">
        <v>232</v>
      </c>
      <c r="D173" t="s">
        <v>1892</v>
      </c>
      <c r="E173" t="s">
        <v>1916</v>
      </c>
      <c r="F173" t="s">
        <v>20</v>
      </c>
      <c r="G173" t="s">
        <v>1916</v>
      </c>
      <c r="H173" t="s">
        <v>26</v>
      </c>
      <c r="I173" t="s">
        <v>22</v>
      </c>
      <c r="J173">
        <v>1938</v>
      </c>
      <c r="K173">
        <f>2026-Table1[[#This Row],[Birthyear]]</f>
        <v>88</v>
      </c>
      <c r="L173" t="s">
        <v>1900</v>
      </c>
      <c r="M173" t="s">
        <v>1300</v>
      </c>
      <c r="N173" t="s">
        <v>1296</v>
      </c>
      <c r="O173" t="s">
        <v>1482</v>
      </c>
      <c r="P173">
        <v>2022</v>
      </c>
      <c r="Q173" t="s">
        <v>1298</v>
      </c>
      <c r="R173" t="s">
        <v>1483</v>
      </c>
      <c r="S173" t="s">
        <v>1484</v>
      </c>
      <c r="T173" t="str">
        <f>CONCATENATE(Table1[[#This Row],[Name]]," ",Table1[[#This Row],[Surname/Studio Name/Artistic Name]])</f>
        <v>Daniel Buren</v>
      </c>
    </row>
    <row r="174" spans="1:20" x14ac:dyDescent="0.35">
      <c r="A174">
        <v>173</v>
      </c>
      <c r="B174" t="s">
        <v>340</v>
      </c>
      <c r="C174" t="s">
        <v>341</v>
      </c>
      <c r="D174" t="s">
        <v>1892</v>
      </c>
      <c r="E174" t="s">
        <v>1916</v>
      </c>
      <c r="F174" t="s">
        <v>20</v>
      </c>
      <c r="G174" t="s">
        <v>1916</v>
      </c>
      <c r="H174" t="s">
        <v>21</v>
      </c>
      <c r="I174" t="s">
        <v>22</v>
      </c>
      <c r="J174">
        <v>1957</v>
      </c>
      <c r="K174">
        <f>2026-Table1[[#This Row],[Birthyear]]</f>
        <v>69</v>
      </c>
      <c r="L174" t="s">
        <v>1410</v>
      </c>
      <c r="M174" t="s">
        <v>1410</v>
      </c>
      <c r="N174" t="s">
        <v>1291</v>
      </c>
      <c r="S174" t="s">
        <v>1485</v>
      </c>
      <c r="T174" t="str">
        <f>CONCATENATE(Table1[[#This Row],[Name]]," ",Table1[[#This Row],[Surname/Studio Name/Artistic Name]])</f>
        <v>Chila Kumari  Burman</v>
      </c>
    </row>
    <row r="175" spans="1:20" x14ac:dyDescent="0.35">
      <c r="A175">
        <v>174</v>
      </c>
      <c r="B175" t="s">
        <v>342</v>
      </c>
      <c r="C175" t="s">
        <v>343</v>
      </c>
      <c r="D175" t="s">
        <v>1892</v>
      </c>
      <c r="E175" t="s">
        <v>1916</v>
      </c>
      <c r="F175" t="s">
        <v>20</v>
      </c>
      <c r="G175" t="s">
        <v>1916</v>
      </c>
      <c r="H175" t="s">
        <v>26</v>
      </c>
      <c r="I175" t="s">
        <v>22</v>
      </c>
      <c r="J175">
        <v>1954</v>
      </c>
      <c r="K175">
        <f>2026-Table1[[#This Row],[Birthyear]]</f>
        <v>72</v>
      </c>
      <c r="L175" t="s">
        <v>1410</v>
      </c>
      <c r="M175" t="s">
        <v>1410</v>
      </c>
      <c r="N175" t="s">
        <v>1291</v>
      </c>
      <c r="S175" t="s">
        <v>1486</v>
      </c>
      <c r="T175" t="str">
        <f>CONCATENATE(Table1[[#This Row],[Name]]," ",Table1[[#This Row],[Surname/Studio Name/Artistic Name]])</f>
        <v>Paolo Buroni (Stark)</v>
      </c>
    </row>
    <row r="176" spans="1:20" x14ac:dyDescent="0.35">
      <c r="A176">
        <v>175</v>
      </c>
      <c r="B176" t="s">
        <v>344</v>
      </c>
      <c r="C176" t="s">
        <v>345</v>
      </c>
      <c r="D176" t="s">
        <v>1892</v>
      </c>
      <c r="E176" t="s">
        <v>1916</v>
      </c>
      <c r="F176" t="s">
        <v>20</v>
      </c>
      <c r="G176" t="s">
        <v>1916</v>
      </c>
      <c r="H176" t="s">
        <v>21</v>
      </c>
      <c r="J176">
        <v>1984</v>
      </c>
      <c r="K176">
        <f>2026-Table1[[#This Row],[Birthyear]]</f>
        <v>42</v>
      </c>
      <c r="L176" t="s">
        <v>1290</v>
      </c>
      <c r="M176" t="s">
        <v>1290</v>
      </c>
      <c r="N176" t="s">
        <v>1291</v>
      </c>
      <c r="S176" t="s">
        <v>1487</v>
      </c>
      <c r="T176" t="str">
        <f>CONCATENATE(Table1[[#This Row],[Name]]," ",Table1[[#This Row],[Surname/Studio Name/Artistic Name]])</f>
        <v>Hera Büyüktașciyan</v>
      </c>
    </row>
    <row r="177" spans="1:20" x14ac:dyDescent="0.35">
      <c r="A177">
        <v>176</v>
      </c>
      <c r="B177" t="s">
        <v>346</v>
      </c>
      <c r="C177" t="s">
        <v>347</v>
      </c>
      <c r="D177" t="s">
        <v>1892</v>
      </c>
      <c r="E177" t="s">
        <v>1916</v>
      </c>
      <c r="F177" t="s">
        <v>20</v>
      </c>
      <c r="G177" t="s">
        <v>1916</v>
      </c>
      <c r="H177" t="s">
        <v>26</v>
      </c>
      <c r="I177" t="s">
        <v>22</v>
      </c>
      <c r="J177">
        <v>1956</v>
      </c>
      <c r="K177">
        <f>2026-Table1[[#This Row],[Birthyear]]</f>
        <v>70</v>
      </c>
      <c r="L177" t="s">
        <v>1290</v>
      </c>
      <c r="M177" t="s">
        <v>1290</v>
      </c>
      <c r="N177" t="s">
        <v>1291</v>
      </c>
      <c r="S177" t="s">
        <v>1422</v>
      </c>
      <c r="T177" t="str">
        <f>CONCATENATE(Table1[[#This Row],[Name]]," ",Table1[[#This Row],[Surname/Studio Name/Artistic Name]])</f>
        <v>Pedro Cabrita Reis</v>
      </c>
    </row>
    <row r="178" spans="1:20" x14ac:dyDescent="0.35">
      <c r="A178">
        <v>177</v>
      </c>
      <c r="B178" t="s">
        <v>349</v>
      </c>
      <c r="C178" t="s">
        <v>350</v>
      </c>
      <c r="D178" t="s">
        <v>1892</v>
      </c>
      <c r="E178" t="s">
        <v>1916</v>
      </c>
      <c r="F178" t="s">
        <v>20</v>
      </c>
      <c r="G178" t="s">
        <v>1916</v>
      </c>
      <c r="H178" t="s">
        <v>21</v>
      </c>
      <c r="J178">
        <v>1986</v>
      </c>
      <c r="K178">
        <f>2026-Table1[[#This Row],[Birthyear]]</f>
        <v>40</v>
      </c>
      <c r="L178" t="s">
        <v>1900</v>
      </c>
      <c r="M178" t="s">
        <v>1317</v>
      </c>
      <c r="N178" t="s">
        <v>1296</v>
      </c>
      <c r="O178" t="s">
        <v>1488</v>
      </c>
      <c r="P178">
        <v>2023</v>
      </c>
      <c r="Q178" t="s">
        <v>1298</v>
      </c>
      <c r="R178" t="s">
        <v>1340</v>
      </c>
      <c r="S178" t="s">
        <v>1341</v>
      </c>
      <c r="T178" t="str">
        <f>CONCATENATE(Table1[[#This Row],[Name]]," ",Table1[[#This Row],[Surname/Studio Name/Artistic Name]])</f>
        <v>Vivian Caccuri​</v>
      </c>
    </row>
    <row r="179" spans="1:20" x14ac:dyDescent="0.35">
      <c r="A179">
        <v>178</v>
      </c>
      <c r="B179" t="s">
        <v>351</v>
      </c>
      <c r="C179" t="s">
        <v>352</v>
      </c>
      <c r="D179" t="s">
        <v>1892</v>
      </c>
      <c r="E179" t="s">
        <v>1916</v>
      </c>
      <c r="F179" t="s">
        <v>20</v>
      </c>
      <c r="G179" t="s">
        <v>1916</v>
      </c>
      <c r="H179" t="s">
        <v>26</v>
      </c>
      <c r="J179">
        <v>1969</v>
      </c>
      <c r="K179">
        <f>2026-Table1[[#This Row],[Birthyear]]</f>
        <v>57</v>
      </c>
      <c r="L179" t="s">
        <v>1900</v>
      </c>
      <c r="M179" t="s">
        <v>1322</v>
      </c>
      <c r="N179" t="s">
        <v>1296</v>
      </c>
      <c r="O179" t="s">
        <v>1489</v>
      </c>
      <c r="P179">
        <v>2024</v>
      </c>
      <c r="Q179" t="s">
        <v>1298</v>
      </c>
      <c r="R179" t="s">
        <v>1382</v>
      </c>
      <c r="T179" t="str">
        <f>CONCATENATE(Table1[[#This Row],[Name]]," ",Table1[[#This Row],[Surname/Studio Name/Artistic Name]])</f>
        <v>Stefano Cagol</v>
      </c>
    </row>
    <row r="180" spans="1:20" x14ac:dyDescent="0.35">
      <c r="A180">
        <v>179</v>
      </c>
      <c r="B180" t="s">
        <v>353</v>
      </c>
      <c r="C180" t="s">
        <v>354</v>
      </c>
      <c r="D180" t="s">
        <v>1892</v>
      </c>
      <c r="E180" t="s">
        <v>1916</v>
      </c>
      <c r="F180" t="s">
        <v>20</v>
      </c>
      <c r="G180" t="s">
        <v>1916</v>
      </c>
      <c r="H180" t="s">
        <v>26</v>
      </c>
      <c r="J180">
        <v>1981</v>
      </c>
      <c r="K180">
        <f>2026-Table1[[#This Row],[Birthyear]]</f>
        <v>45</v>
      </c>
      <c r="L180" t="s">
        <v>1914</v>
      </c>
      <c r="M180" t="s">
        <v>1342</v>
      </c>
      <c r="N180" t="s">
        <v>1296</v>
      </c>
      <c r="O180" t="s">
        <v>1490</v>
      </c>
      <c r="P180">
        <v>2025</v>
      </c>
      <c r="Q180" t="s">
        <v>1344</v>
      </c>
      <c r="T180" t="str">
        <f>CONCATENATE(Table1[[#This Row],[Name]]," ",Table1[[#This Row],[Surname/Studio Name/Artistic Name]])</f>
        <v>Juan Caicedo</v>
      </c>
    </row>
    <row r="181" spans="1:20" x14ac:dyDescent="0.35">
      <c r="A181">
        <v>180</v>
      </c>
      <c r="B181" t="s">
        <v>355</v>
      </c>
      <c r="C181" t="s">
        <v>356</v>
      </c>
      <c r="D181" t="s">
        <v>1892</v>
      </c>
      <c r="E181" t="s">
        <v>1916</v>
      </c>
      <c r="F181" t="s">
        <v>20</v>
      </c>
      <c r="G181" t="s">
        <v>1916</v>
      </c>
      <c r="H181" t="s">
        <v>26</v>
      </c>
      <c r="J181">
        <v>1985</v>
      </c>
      <c r="K181">
        <f>2026-Table1[[#This Row],[Birthyear]]</f>
        <v>41</v>
      </c>
      <c r="L181" t="s">
        <v>1290</v>
      </c>
      <c r="M181" t="s">
        <v>1290</v>
      </c>
      <c r="N181" t="s">
        <v>1291</v>
      </c>
      <c r="S181" t="s">
        <v>1374</v>
      </c>
      <c r="T181" t="str">
        <f>CONCATENATE(Table1[[#This Row],[Name]]," ",Table1[[#This Row],[Surname/Studio Name/Artistic Name]])</f>
        <v>Léo Caillard</v>
      </c>
    </row>
    <row r="182" spans="1:20" x14ac:dyDescent="0.35">
      <c r="A182">
        <v>181</v>
      </c>
      <c r="B182" t="s">
        <v>357</v>
      </c>
      <c r="C182" t="s">
        <v>358</v>
      </c>
      <c r="D182" t="s">
        <v>1892</v>
      </c>
      <c r="E182" t="s">
        <v>1916</v>
      </c>
      <c r="F182" t="s">
        <v>20</v>
      </c>
      <c r="G182" t="s">
        <v>1916</v>
      </c>
      <c r="H182" t="s">
        <v>21</v>
      </c>
      <c r="I182" t="s">
        <v>22</v>
      </c>
      <c r="J182">
        <v>1961</v>
      </c>
      <c r="K182">
        <f>2026-Table1[[#This Row],[Birthyear]]</f>
        <v>65</v>
      </c>
      <c r="L182" t="s">
        <v>1315</v>
      </c>
      <c r="M182" t="s">
        <v>1315</v>
      </c>
      <c r="N182" t="s">
        <v>1296</v>
      </c>
      <c r="O182" t="s">
        <v>1491</v>
      </c>
      <c r="Q182" t="s">
        <v>1376</v>
      </c>
      <c r="S182" t="s">
        <v>1336</v>
      </c>
      <c r="T182" t="str">
        <f>CONCATENATE(Table1[[#This Row],[Name]]," ",Table1[[#This Row],[Surname/Studio Name/Artistic Name]])</f>
        <v>Luisa Caldwell</v>
      </c>
    </row>
    <row r="183" spans="1:20" x14ac:dyDescent="0.35">
      <c r="A183">
        <v>182</v>
      </c>
      <c r="B183" t="s">
        <v>359</v>
      </c>
      <c r="C183" t="s">
        <v>360</v>
      </c>
      <c r="D183" t="s">
        <v>1892</v>
      </c>
      <c r="E183" t="s">
        <v>1916</v>
      </c>
      <c r="F183" t="s">
        <v>20</v>
      </c>
      <c r="G183" t="s">
        <v>1916</v>
      </c>
      <c r="H183" t="s">
        <v>26</v>
      </c>
      <c r="J183">
        <v>1956</v>
      </c>
      <c r="K183">
        <f>2026-Table1[[#This Row],[Birthyear]]</f>
        <v>70</v>
      </c>
      <c r="L183" t="s">
        <v>1900</v>
      </c>
      <c r="M183" t="s">
        <v>1300</v>
      </c>
      <c r="N183" t="s">
        <v>1296</v>
      </c>
      <c r="O183" t="s">
        <v>1492</v>
      </c>
      <c r="P183" t="s">
        <v>1493</v>
      </c>
      <c r="Q183" t="s">
        <v>1302</v>
      </c>
      <c r="R183" t="s">
        <v>1312</v>
      </c>
      <c r="S183" t="s">
        <v>1433</v>
      </c>
      <c r="T183" t="str">
        <f>CONCATENATE(Table1[[#This Row],[Name]]," ",Table1[[#This Row],[Surname/Studio Name/Artistic Name]])</f>
        <v>Jim Campbell</v>
      </c>
    </row>
    <row r="184" spans="1:20" x14ac:dyDescent="0.35">
      <c r="A184">
        <v>183</v>
      </c>
      <c r="B184" t="s">
        <v>361</v>
      </c>
      <c r="C184" t="s">
        <v>232</v>
      </c>
      <c r="D184" t="s">
        <v>1892</v>
      </c>
      <c r="E184" t="s">
        <v>1916</v>
      </c>
      <c r="F184" t="s">
        <v>20</v>
      </c>
      <c r="G184" t="s">
        <v>1916</v>
      </c>
      <c r="H184" t="s">
        <v>26</v>
      </c>
      <c r="I184" t="s">
        <v>22</v>
      </c>
      <c r="J184">
        <v>1964</v>
      </c>
      <c r="K184">
        <f>2026-Table1[[#This Row],[Birthyear]]</f>
        <v>62</v>
      </c>
      <c r="L184" t="s">
        <v>1912</v>
      </c>
      <c r="M184" t="s">
        <v>1494</v>
      </c>
      <c r="N184" t="s">
        <v>1296</v>
      </c>
      <c r="O184" t="s">
        <v>1495</v>
      </c>
      <c r="Q184" t="s">
        <v>1454</v>
      </c>
      <c r="R184" t="s">
        <v>1496</v>
      </c>
      <c r="S184" t="s">
        <v>1497</v>
      </c>
      <c r="T184" t="str">
        <f>CONCATENATE(Table1[[#This Row],[Name]]," ",Table1[[#This Row],[Surname/Studio Name/Artistic Name]])</f>
        <v>Daniel Canogar</v>
      </c>
    </row>
    <row r="185" spans="1:20" x14ac:dyDescent="0.35">
      <c r="A185">
        <v>184</v>
      </c>
      <c r="B185" t="s">
        <v>362</v>
      </c>
      <c r="C185" t="s">
        <v>363</v>
      </c>
      <c r="D185" t="s">
        <v>1892</v>
      </c>
      <c r="E185" t="s">
        <v>1916</v>
      </c>
      <c r="F185" t="s">
        <v>20</v>
      </c>
      <c r="G185" t="s">
        <v>1916</v>
      </c>
      <c r="H185" t="s">
        <v>21</v>
      </c>
      <c r="J185">
        <v>1959</v>
      </c>
      <c r="K185">
        <f>2026-Table1[[#This Row],[Birthyear]]</f>
        <v>67</v>
      </c>
      <c r="L185" t="s">
        <v>1900</v>
      </c>
      <c r="M185" t="s">
        <v>1295</v>
      </c>
      <c r="N185" t="s">
        <v>1296</v>
      </c>
      <c r="O185" t="s">
        <v>1498</v>
      </c>
      <c r="P185">
        <v>2023</v>
      </c>
      <c r="Q185" t="s">
        <v>1298</v>
      </c>
      <c r="R185" t="s">
        <v>1499</v>
      </c>
      <c r="T185" t="str">
        <f>CONCATENATE(Table1[[#This Row],[Name]]," ",Table1[[#This Row],[Surname/Studio Name/Artistic Name]])</f>
        <v>Rejane Cantoni</v>
      </c>
    </row>
    <row r="186" spans="1:20" x14ac:dyDescent="0.35">
      <c r="A186">
        <v>185</v>
      </c>
      <c r="B186" t="s">
        <v>364</v>
      </c>
      <c r="C186" t="s">
        <v>365</v>
      </c>
      <c r="D186" t="s">
        <v>1892</v>
      </c>
      <c r="E186" t="s">
        <v>1916</v>
      </c>
      <c r="F186" t="s">
        <v>20</v>
      </c>
      <c r="G186" t="s">
        <v>1916</v>
      </c>
      <c r="H186" t="s">
        <v>26</v>
      </c>
      <c r="J186">
        <v>1982</v>
      </c>
      <c r="K186">
        <f>2026-Table1[[#This Row],[Birthyear]]</f>
        <v>44</v>
      </c>
      <c r="L186" t="s">
        <v>1914</v>
      </c>
      <c r="M186" t="s">
        <v>1342</v>
      </c>
      <c r="N186" t="s">
        <v>1296</v>
      </c>
      <c r="O186" t="s">
        <v>1500</v>
      </c>
      <c r="P186">
        <v>2025</v>
      </c>
      <c r="Q186" t="s">
        <v>1344</v>
      </c>
      <c r="T186" t="str">
        <f>CONCATENATE(Table1[[#This Row],[Name]]," ",Table1[[#This Row],[Surname/Studio Name/Artistic Name]])</f>
        <v>Jacob Lucius Cartwright</v>
      </c>
    </row>
    <row r="187" spans="1:20" x14ac:dyDescent="0.35">
      <c r="A187">
        <v>186</v>
      </c>
      <c r="B187" t="s">
        <v>367</v>
      </c>
      <c r="C187" t="s">
        <v>368</v>
      </c>
      <c r="D187" t="s">
        <v>1892</v>
      </c>
      <c r="E187" t="s">
        <v>1916</v>
      </c>
      <c r="F187" t="s">
        <v>20</v>
      </c>
      <c r="G187" t="s">
        <v>1916</v>
      </c>
      <c r="H187" t="s">
        <v>26</v>
      </c>
      <c r="J187">
        <v>1959</v>
      </c>
      <c r="K187">
        <f>2026-Table1[[#This Row],[Birthyear]]</f>
        <v>67</v>
      </c>
      <c r="L187" t="s">
        <v>1914</v>
      </c>
      <c r="M187" t="s">
        <v>1326</v>
      </c>
      <c r="N187" t="s">
        <v>1327</v>
      </c>
      <c r="T187" t="str">
        <f>CONCATENATE(Table1[[#This Row],[Name]]," ",Table1[[#This Row],[Surname/Studio Name/Artistic Name]])</f>
        <v>Manuel Castedo</v>
      </c>
    </row>
    <row r="188" spans="1:20" x14ac:dyDescent="0.35">
      <c r="A188">
        <v>187</v>
      </c>
      <c r="B188" t="s">
        <v>369</v>
      </c>
      <c r="C188" t="s">
        <v>370</v>
      </c>
      <c r="D188" t="s">
        <v>1892</v>
      </c>
      <c r="E188" t="s">
        <v>1916</v>
      </c>
      <c r="F188" t="s">
        <v>20</v>
      </c>
      <c r="G188" t="s">
        <v>1916</v>
      </c>
      <c r="H188" t="s">
        <v>26</v>
      </c>
      <c r="J188">
        <v>1960</v>
      </c>
      <c r="K188">
        <f>2026-Table1[[#This Row],[Birthyear]]</f>
        <v>66</v>
      </c>
      <c r="L188" t="s">
        <v>1290</v>
      </c>
      <c r="M188" t="s">
        <v>1290</v>
      </c>
      <c r="N188" t="s">
        <v>1337</v>
      </c>
      <c r="S188" t="s">
        <v>1338</v>
      </c>
      <c r="T188" t="str">
        <f>CONCATENATE(Table1[[#This Row],[Name]]," ",Table1[[#This Row],[Surname/Studio Name/Artistic Name]])</f>
        <v>Maurizio Cattelan</v>
      </c>
    </row>
    <row r="189" spans="1:20" x14ac:dyDescent="0.35">
      <c r="A189">
        <v>188</v>
      </c>
      <c r="B189" t="s">
        <v>371</v>
      </c>
      <c r="C189" t="s">
        <v>372</v>
      </c>
      <c r="D189" t="s">
        <v>1892</v>
      </c>
      <c r="E189" t="s">
        <v>1916</v>
      </c>
      <c r="F189" t="s">
        <v>20</v>
      </c>
      <c r="G189" t="s">
        <v>1916</v>
      </c>
      <c r="H189" t="s">
        <v>21</v>
      </c>
      <c r="J189">
        <v>1961</v>
      </c>
      <c r="K189">
        <f>2026-Table1[[#This Row],[Birthyear]]</f>
        <v>65</v>
      </c>
      <c r="L189" t="s">
        <v>1914</v>
      </c>
      <c r="M189" t="s">
        <v>1342</v>
      </c>
      <c r="N189" t="s">
        <v>1296</v>
      </c>
      <c r="O189" t="s">
        <v>1501</v>
      </c>
      <c r="P189">
        <v>2025</v>
      </c>
      <c r="Q189" t="s">
        <v>1344</v>
      </c>
      <c r="T189" t="str">
        <f>CONCATENATE(Table1[[#This Row],[Name]]," ",Table1[[#This Row],[Surname/Studio Name/Artistic Name]])</f>
        <v>Birgit Cauer</v>
      </c>
    </row>
    <row r="190" spans="1:20" x14ac:dyDescent="0.35">
      <c r="A190">
        <v>189</v>
      </c>
      <c r="B190" t="s">
        <v>373</v>
      </c>
      <c r="C190" t="s">
        <v>374</v>
      </c>
      <c r="D190" t="s">
        <v>1892</v>
      </c>
      <c r="E190" t="s">
        <v>1916</v>
      </c>
      <c r="F190" t="s">
        <v>20</v>
      </c>
      <c r="G190" t="s">
        <v>1916</v>
      </c>
      <c r="H190" t="s">
        <v>26</v>
      </c>
      <c r="J190">
        <v>1969</v>
      </c>
      <c r="K190">
        <f>2026-Table1[[#This Row],[Birthyear]]</f>
        <v>57</v>
      </c>
      <c r="L190" t="s">
        <v>1900</v>
      </c>
      <c r="M190" t="s">
        <v>1295</v>
      </c>
      <c r="N190" t="s">
        <v>1296</v>
      </c>
      <c r="O190" t="s">
        <v>1502</v>
      </c>
      <c r="P190">
        <v>2025</v>
      </c>
      <c r="Q190" t="s">
        <v>1298</v>
      </c>
      <c r="R190" t="s">
        <v>1299</v>
      </c>
      <c r="T190" t="str">
        <f>CONCATENATE(Table1[[#This Row],[Name]]," ",Table1[[#This Row],[Surname/Studio Name/Artistic Name]])</f>
        <v>Loris Cecchini</v>
      </c>
    </row>
    <row r="191" spans="1:20" x14ac:dyDescent="0.35">
      <c r="A191">
        <v>190</v>
      </c>
      <c r="B191" t="s">
        <v>375</v>
      </c>
      <c r="C191" t="s">
        <v>272</v>
      </c>
      <c r="D191" t="s">
        <v>1892</v>
      </c>
      <c r="E191" t="s">
        <v>1916</v>
      </c>
      <c r="F191" t="s">
        <v>25</v>
      </c>
      <c r="G191" t="s">
        <v>1916</v>
      </c>
      <c r="H191" t="s">
        <v>26</v>
      </c>
      <c r="J191">
        <v>1967</v>
      </c>
      <c r="K191">
        <f>2026-Table1[[#This Row],[Birthyear]]</f>
        <v>59</v>
      </c>
      <c r="L191" t="s">
        <v>1293</v>
      </c>
      <c r="M191" t="s">
        <v>1293</v>
      </c>
      <c r="N191" t="s">
        <v>1294</v>
      </c>
      <c r="T191" t="str">
        <f>CONCATENATE(Table1[[#This Row],[Name]]," ",Table1[[#This Row],[Surname/Studio Name/Artistic Name]])</f>
        <v>David Cerny</v>
      </c>
    </row>
    <row r="192" spans="1:20" x14ac:dyDescent="0.35">
      <c r="A192">
        <v>191</v>
      </c>
      <c r="B192" t="s">
        <v>376</v>
      </c>
      <c r="C192" t="s">
        <v>377</v>
      </c>
      <c r="D192" t="s">
        <v>1892</v>
      </c>
      <c r="E192" t="s">
        <v>1916</v>
      </c>
      <c r="F192" t="s">
        <v>20</v>
      </c>
      <c r="G192" t="s">
        <v>1916</v>
      </c>
      <c r="H192" t="s">
        <v>26</v>
      </c>
      <c r="J192">
        <v>1991</v>
      </c>
      <c r="K192">
        <f>2026-Table1[[#This Row],[Birthyear]]</f>
        <v>35</v>
      </c>
      <c r="L192" t="s">
        <v>1315</v>
      </c>
      <c r="M192" t="s">
        <v>1315</v>
      </c>
      <c r="N192" t="s">
        <v>1327</v>
      </c>
      <c r="S192" t="s">
        <v>1316</v>
      </c>
      <c r="T192" t="str">
        <f>CONCATENATE(Table1[[#This Row],[Name]]," ",Table1[[#This Row],[Surname/Studio Name/Artistic Name]])</f>
        <v>Jose Chafer</v>
      </c>
    </row>
    <row r="193" spans="1:20" x14ac:dyDescent="0.35">
      <c r="A193">
        <v>192</v>
      </c>
      <c r="B193" t="s">
        <v>378</v>
      </c>
      <c r="C193" t="s">
        <v>379</v>
      </c>
      <c r="D193" t="s">
        <v>1892</v>
      </c>
      <c r="E193" t="s">
        <v>1916</v>
      </c>
      <c r="F193" t="s">
        <v>20</v>
      </c>
      <c r="G193" t="s">
        <v>1916</v>
      </c>
      <c r="H193" t="s">
        <v>21</v>
      </c>
      <c r="J193">
        <v>1978</v>
      </c>
      <c r="K193">
        <f>2026-Table1[[#This Row],[Birthyear]]</f>
        <v>48</v>
      </c>
      <c r="L193" t="s">
        <v>1290</v>
      </c>
      <c r="M193" t="s">
        <v>1290</v>
      </c>
      <c r="N193" t="s">
        <v>1296</v>
      </c>
      <c r="O193" t="s">
        <v>1503</v>
      </c>
      <c r="Q193" t="s">
        <v>1306</v>
      </c>
      <c r="R193" t="s">
        <v>1504</v>
      </c>
      <c r="S193" t="s">
        <v>1505</v>
      </c>
      <c r="T193" t="str">
        <f>CONCATENATE(Table1[[#This Row],[Name]]," ",Table1[[#This Row],[Surname/Studio Name/Artistic Name]])</f>
        <v>Lia Chaia</v>
      </c>
    </row>
    <row r="194" spans="1:20" x14ac:dyDescent="0.35">
      <c r="A194">
        <v>193</v>
      </c>
      <c r="B194" t="s">
        <v>380</v>
      </c>
      <c r="C194" t="s">
        <v>115</v>
      </c>
      <c r="D194" t="s">
        <v>1892</v>
      </c>
      <c r="E194" t="s">
        <v>1916</v>
      </c>
      <c r="F194" t="s">
        <v>20</v>
      </c>
      <c r="G194" t="s">
        <v>1916</v>
      </c>
      <c r="H194" t="s">
        <v>26</v>
      </c>
      <c r="J194">
        <v>1976</v>
      </c>
      <c r="K194">
        <f>2026-Table1[[#This Row],[Birthyear]]</f>
        <v>50</v>
      </c>
      <c r="L194" t="s">
        <v>1290</v>
      </c>
      <c r="M194" t="s">
        <v>1290</v>
      </c>
      <c r="N194" t="s">
        <v>1291</v>
      </c>
      <c r="S194" t="s">
        <v>1452</v>
      </c>
      <c r="T194" t="str">
        <f>CONCATENATE(Table1[[#This Row],[Name]]," ",Table1[[#This Row],[Surname/Studio Name/Artistic Name]])</f>
        <v>Ali Cherri</v>
      </c>
    </row>
    <row r="195" spans="1:20" x14ac:dyDescent="0.35">
      <c r="A195">
        <v>194</v>
      </c>
      <c r="B195" t="s">
        <v>381</v>
      </c>
      <c r="C195" t="s">
        <v>382</v>
      </c>
      <c r="D195" t="s">
        <v>1892</v>
      </c>
      <c r="E195" t="s">
        <v>1916</v>
      </c>
      <c r="F195" t="s">
        <v>20</v>
      </c>
      <c r="G195" t="s">
        <v>1916</v>
      </c>
      <c r="H195" t="s">
        <v>26</v>
      </c>
      <c r="I195" t="s">
        <v>22</v>
      </c>
      <c r="J195">
        <v>1983</v>
      </c>
      <c r="K195">
        <f>2026-Table1[[#This Row],[Birthyear]]</f>
        <v>43</v>
      </c>
      <c r="L195" t="s">
        <v>1290</v>
      </c>
      <c r="M195" t="s">
        <v>1290</v>
      </c>
      <c r="N195" t="s">
        <v>1387</v>
      </c>
      <c r="O195" t="s">
        <v>1506</v>
      </c>
      <c r="Q195" t="s">
        <v>1371</v>
      </c>
      <c r="R195" t="s">
        <v>1507</v>
      </c>
      <c r="S195" t="s">
        <v>1508</v>
      </c>
      <c r="T195" t="str">
        <f>CONCATENATE(Table1[[#This Row],[Name]]," ",Table1[[#This Row],[Surname/Studio Name/Artistic Name]])</f>
        <v>Chris Cheung</v>
      </c>
    </row>
    <row r="196" spans="1:20" x14ac:dyDescent="0.35">
      <c r="A196">
        <v>195</v>
      </c>
      <c r="B196" t="s">
        <v>384</v>
      </c>
      <c r="C196" t="s">
        <v>328</v>
      </c>
      <c r="D196" t="s">
        <v>1892</v>
      </c>
      <c r="E196" t="s">
        <v>1916</v>
      </c>
      <c r="F196" t="s">
        <v>20</v>
      </c>
      <c r="G196" t="s">
        <v>1916</v>
      </c>
      <c r="H196" t="s">
        <v>26</v>
      </c>
      <c r="I196" t="s">
        <v>22</v>
      </c>
      <c r="J196">
        <v>1959</v>
      </c>
      <c r="K196">
        <f>2026-Table1[[#This Row],[Birthyear]]</f>
        <v>67</v>
      </c>
      <c r="L196" t="s">
        <v>1290</v>
      </c>
      <c r="M196" t="s">
        <v>1290</v>
      </c>
      <c r="N196" t="s">
        <v>1291</v>
      </c>
      <c r="S196" t="s">
        <v>1452</v>
      </c>
      <c r="T196" t="str">
        <f>CONCATENATE(Table1[[#This Row],[Name]]," ",Table1[[#This Row],[Surname/Studio Name/Artistic Name]])</f>
        <v>Miguel Chevalier</v>
      </c>
    </row>
    <row r="197" spans="1:20" x14ac:dyDescent="0.35">
      <c r="A197">
        <v>196</v>
      </c>
      <c r="B197" t="s">
        <v>385</v>
      </c>
      <c r="C197" t="s">
        <v>386</v>
      </c>
      <c r="D197" t="s">
        <v>1892</v>
      </c>
      <c r="E197" t="s">
        <v>1916</v>
      </c>
      <c r="F197" t="s">
        <v>20</v>
      </c>
      <c r="G197" t="s">
        <v>1916</v>
      </c>
      <c r="H197" t="s">
        <v>26</v>
      </c>
      <c r="J197">
        <v>1946</v>
      </c>
      <c r="K197">
        <f>2026-Table1[[#This Row],[Birthyear]]</f>
        <v>80</v>
      </c>
      <c r="L197" t="s">
        <v>1315</v>
      </c>
      <c r="M197" t="s">
        <v>1315</v>
      </c>
      <c r="N197" t="s">
        <v>1327</v>
      </c>
      <c r="S197" t="s">
        <v>1336</v>
      </c>
      <c r="T197" t="str">
        <f>CONCATENATE(Table1[[#This Row],[Name]]," ",Table1[[#This Row],[Surname/Studio Name/Artistic Name]])</f>
        <v>Sandro Chia</v>
      </c>
    </row>
    <row r="198" spans="1:20" x14ac:dyDescent="0.35">
      <c r="A198">
        <v>197</v>
      </c>
      <c r="B198" t="s">
        <v>387</v>
      </c>
      <c r="C198" t="s">
        <v>388</v>
      </c>
      <c r="D198" t="s">
        <v>1892</v>
      </c>
      <c r="E198" t="s">
        <v>1916</v>
      </c>
      <c r="F198" t="s">
        <v>20</v>
      </c>
      <c r="G198" t="s">
        <v>1916</v>
      </c>
      <c r="H198" t="s">
        <v>26</v>
      </c>
      <c r="J198">
        <v>1980</v>
      </c>
      <c r="K198">
        <f>2026-Table1[[#This Row],[Birthyear]]</f>
        <v>46</v>
      </c>
      <c r="L198" t="s">
        <v>1900</v>
      </c>
      <c r="M198" t="s">
        <v>1295</v>
      </c>
      <c r="N198" t="s">
        <v>1296</v>
      </c>
      <c r="O198" t="s">
        <v>1509</v>
      </c>
      <c r="P198">
        <v>2025</v>
      </c>
      <c r="Q198" t="s">
        <v>1510</v>
      </c>
      <c r="R198" t="s">
        <v>1355</v>
      </c>
      <c r="T198" t="str">
        <f>CONCATENATE(Table1[[#This Row],[Name]]," ",Table1[[#This Row],[Surname/Studio Name/Artistic Name]])</f>
        <v>Vali Chincișan</v>
      </c>
    </row>
    <row r="199" spans="1:20" x14ac:dyDescent="0.35">
      <c r="A199">
        <v>198</v>
      </c>
      <c r="B199" t="s">
        <v>390</v>
      </c>
      <c r="C199" t="s">
        <v>391</v>
      </c>
      <c r="D199" t="s">
        <v>1892</v>
      </c>
      <c r="E199" t="s">
        <v>1916</v>
      </c>
      <c r="F199" t="s">
        <v>20</v>
      </c>
      <c r="G199" t="s">
        <v>1916</v>
      </c>
      <c r="H199" t="s">
        <v>26</v>
      </c>
      <c r="I199" t="s">
        <v>22</v>
      </c>
      <c r="J199">
        <v>1984</v>
      </c>
      <c r="K199">
        <f>2026-Table1[[#This Row],[Birthyear]]</f>
        <v>42</v>
      </c>
      <c r="L199" t="s">
        <v>1315</v>
      </c>
      <c r="M199" t="s">
        <v>1315</v>
      </c>
      <c r="N199" t="s">
        <v>1309</v>
      </c>
      <c r="S199" t="s">
        <v>1511</v>
      </c>
      <c r="T199" t="str">
        <f>CONCATENATE(Table1[[#This Row],[Name]]," ",Table1[[#This Row],[Surname/Studio Name/Artistic Name]])</f>
        <v>Alex Chinneck</v>
      </c>
    </row>
    <row r="200" spans="1:20" x14ac:dyDescent="0.35">
      <c r="A200">
        <v>199</v>
      </c>
      <c r="B200" t="s">
        <v>392</v>
      </c>
      <c r="C200" t="s">
        <v>393</v>
      </c>
      <c r="D200" t="s">
        <v>1892</v>
      </c>
      <c r="E200" t="s">
        <v>1916</v>
      </c>
      <c r="F200" t="s">
        <v>20</v>
      </c>
      <c r="G200" t="s">
        <v>1916</v>
      </c>
      <c r="H200" t="s">
        <v>26</v>
      </c>
      <c r="J200">
        <v>1981</v>
      </c>
      <c r="K200">
        <f>2026-Table1[[#This Row],[Birthyear]]</f>
        <v>45</v>
      </c>
      <c r="L200" t="s">
        <v>1900</v>
      </c>
      <c r="M200" t="s">
        <v>1295</v>
      </c>
      <c r="N200" t="s">
        <v>1296</v>
      </c>
      <c r="O200" t="s">
        <v>1512</v>
      </c>
      <c r="P200">
        <v>2023</v>
      </c>
      <c r="Q200" t="s">
        <v>1298</v>
      </c>
      <c r="R200" t="s">
        <v>1467</v>
      </c>
      <c r="T200" t="str">
        <f>CONCATENATE(Table1[[#This Row],[Name]]," ",Table1[[#This Row],[Surname/Studio Name/Artistic Name]])</f>
        <v>Wu  Chi-Tsung</v>
      </c>
    </row>
    <row r="201" spans="1:20" x14ac:dyDescent="0.35">
      <c r="A201">
        <v>200</v>
      </c>
      <c r="B201" t="s">
        <v>394</v>
      </c>
      <c r="C201" t="s">
        <v>395</v>
      </c>
      <c r="D201" t="s">
        <v>1892</v>
      </c>
      <c r="E201" t="s">
        <v>1916</v>
      </c>
      <c r="F201" t="s">
        <v>20</v>
      </c>
      <c r="G201" t="s">
        <v>1916</v>
      </c>
      <c r="H201" t="s">
        <v>21</v>
      </c>
      <c r="J201">
        <v>1977</v>
      </c>
      <c r="K201">
        <f>2026-Table1[[#This Row],[Birthyear]]</f>
        <v>49</v>
      </c>
      <c r="L201" t="s">
        <v>1900</v>
      </c>
      <c r="M201" t="s">
        <v>1317</v>
      </c>
      <c r="N201" t="s">
        <v>1296</v>
      </c>
      <c r="O201" t="s">
        <v>1513</v>
      </c>
      <c r="P201">
        <v>2023</v>
      </c>
      <c r="Q201" t="s">
        <v>1302</v>
      </c>
      <c r="R201" t="s">
        <v>1392</v>
      </c>
      <c r="S201" t="s">
        <v>1341</v>
      </c>
      <c r="T201" t="str">
        <f>CONCATENATE(Table1[[#This Row],[Name]]," ",Table1[[#This Row],[Surname/Studio Name/Artistic Name]])</f>
        <v>Hriech Chourouk ​</v>
      </c>
    </row>
    <row r="202" spans="1:20" x14ac:dyDescent="0.35">
      <c r="A202">
        <v>201</v>
      </c>
      <c r="B202" t="s">
        <v>396</v>
      </c>
      <c r="C202" t="s">
        <v>397</v>
      </c>
      <c r="D202" t="s">
        <v>1892</v>
      </c>
      <c r="E202" t="s">
        <v>1916</v>
      </c>
      <c r="F202" t="s">
        <v>25</v>
      </c>
      <c r="G202" t="s">
        <v>1916</v>
      </c>
      <c r="H202" t="s">
        <v>21</v>
      </c>
      <c r="I202" t="s">
        <v>22</v>
      </c>
      <c r="J202">
        <v>1970</v>
      </c>
      <c r="K202">
        <f>2026-Table1[[#This Row],[Birthyear]]</f>
        <v>56</v>
      </c>
      <c r="L202" t="s">
        <v>1290</v>
      </c>
      <c r="M202" t="s">
        <v>1290</v>
      </c>
      <c r="N202" t="s">
        <v>1296</v>
      </c>
      <c r="O202" t="s">
        <v>1514</v>
      </c>
      <c r="Q202" t="s">
        <v>1306</v>
      </c>
      <c r="R202" t="s">
        <v>1515</v>
      </c>
      <c r="S202" t="s">
        <v>1308</v>
      </c>
      <c r="T202" t="str">
        <f>CONCATENATE(Table1[[#This Row],[Name]]," ",Table1[[#This Row],[Surname/Studio Name/Artistic Name]])</f>
        <v>Lubna Chowdhary</v>
      </c>
    </row>
    <row r="203" spans="1:20" x14ac:dyDescent="0.35">
      <c r="A203">
        <v>202</v>
      </c>
      <c r="B203" t="s">
        <v>274</v>
      </c>
      <c r="C203" t="s">
        <v>398</v>
      </c>
      <c r="D203" t="s">
        <v>1892</v>
      </c>
      <c r="E203" t="s">
        <v>1916</v>
      </c>
      <c r="F203" t="s">
        <v>25</v>
      </c>
      <c r="G203" t="s">
        <v>1916</v>
      </c>
      <c r="H203" t="s">
        <v>21</v>
      </c>
      <c r="J203">
        <v>1947</v>
      </c>
      <c r="K203">
        <f>2026-Table1[[#This Row],[Birthyear]]</f>
        <v>79</v>
      </c>
      <c r="L203" t="s">
        <v>1293</v>
      </c>
      <c r="M203" t="s">
        <v>1293</v>
      </c>
      <c r="N203" t="s">
        <v>1309</v>
      </c>
      <c r="T203" t="str">
        <f>CONCATENATE(Table1[[#This Row],[Name]]," ",Table1[[#This Row],[Surname/Studio Name/Artistic Name]])</f>
        <v>Ann Christopher</v>
      </c>
    </row>
    <row r="204" spans="1:20" x14ac:dyDescent="0.35">
      <c r="A204">
        <v>203</v>
      </c>
      <c r="B204" t="s">
        <v>399</v>
      </c>
      <c r="C204" t="s">
        <v>400</v>
      </c>
      <c r="D204" t="s">
        <v>1892</v>
      </c>
      <c r="E204" t="s">
        <v>1916</v>
      </c>
      <c r="F204" t="s">
        <v>20</v>
      </c>
      <c r="G204" t="s">
        <v>1916</v>
      </c>
      <c r="H204" t="s">
        <v>26</v>
      </c>
      <c r="I204" t="s">
        <v>22</v>
      </c>
      <c r="J204">
        <v>1992</v>
      </c>
      <c r="K204">
        <f>2026-Table1[[#This Row],[Birthyear]]</f>
        <v>34</v>
      </c>
      <c r="L204" t="s">
        <v>1290</v>
      </c>
      <c r="M204" t="s">
        <v>1290</v>
      </c>
      <c r="N204" t="s">
        <v>1291</v>
      </c>
      <c r="S204" t="s">
        <v>1468</v>
      </c>
      <c r="T204" t="str">
        <f>CONCATENATE(Table1[[#This Row],[Name]]," ",Table1[[#This Row],[Surname/Studio Name/Artistic Name]])</f>
        <v>Chong Chuan Yan</v>
      </c>
    </row>
    <row r="205" spans="1:20" x14ac:dyDescent="0.35">
      <c r="A205">
        <v>204</v>
      </c>
      <c r="B205" t="s">
        <v>401</v>
      </c>
      <c r="C205" t="s">
        <v>402</v>
      </c>
      <c r="D205" t="s">
        <v>1892</v>
      </c>
      <c r="E205" t="s">
        <v>1916</v>
      </c>
      <c r="F205" t="s">
        <v>20</v>
      </c>
      <c r="G205" t="s">
        <v>1916</v>
      </c>
      <c r="H205" t="s">
        <v>21</v>
      </c>
      <c r="J205">
        <v>1987</v>
      </c>
      <c r="K205">
        <f>2026-Table1[[#This Row],[Birthyear]]</f>
        <v>39</v>
      </c>
      <c r="L205" t="s">
        <v>1914</v>
      </c>
      <c r="M205" t="s">
        <v>1326</v>
      </c>
      <c r="N205" t="s">
        <v>1296</v>
      </c>
      <c r="O205" t="s">
        <v>1516</v>
      </c>
      <c r="P205">
        <v>2023</v>
      </c>
      <c r="Q205" t="s">
        <v>1344</v>
      </c>
      <c r="R205" t="s">
        <v>1299</v>
      </c>
      <c r="T205" t="str">
        <f>CONCATENATE(Table1[[#This Row],[Name]]," ",Table1[[#This Row],[Surname/Studio Name/Artistic Name]])</f>
        <v>Vasilisa Chugunova</v>
      </c>
    </row>
    <row r="206" spans="1:20" x14ac:dyDescent="0.35">
      <c r="A206">
        <v>205</v>
      </c>
      <c r="B206" t="s">
        <v>403</v>
      </c>
      <c r="C206" t="s">
        <v>404</v>
      </c>
      <c r="D206" t="s">
        <v>1892</v>
      </c>
      <c r="E206" t="s">
        <v>1916</v>
      </c>
      <c r="F206" t="s">
        <v>25</v>
      </c>
      <c r="G206" t="s">
        <v>1916</v>
      </c>
      <c r="H206" t="s">
        <v>26</v>
      </c>
      <c r="J206">
        <v>1970</v>
      </c>
      <c r="K206">
        <f>2026-Table1[[#This Row],[Birthyear]]</f>
        <v>56</v>
      </c>
      <c r="L206" t="s">
        <v>1293</v>
      </c>
      <c r="M206" t="s">
        <v>1293</v>
      </c>
      <c r="N206" t="s">
        <v>1294</v>
      </c>
      <c r="T206" t="str">
        <f>CONCATENATE(Table1[[#This Row],[Name]]," ",Table1[[#This Row],[Surname/Studio Name/Artistic Name]])</f>
        <v>Marco Cianfanelli</v>
      </c>
    </row>
    <row r="207" spans="1:20" x14ac:dyDescent="0.35">
      <c r="A207">
        <v>206</v>
      </c>
      <c r="B207" t="s">
        <v>405</v>
      </c>
      <c r="C207" t="s">
        <v>406</v>
      </c>
      <c r="D207" t="s">
        <v>1892</v>
      </c>
      <c r="E207" t="s">
        <v>1916</v>
      </c>
      <c r="F207" t="s">
        <v>20</v>
      </c>
      <c r="G207" t="s">
        <v>1916</v>
      </c>
      <c r="H207" t="s">
        <v>26</v>
      </c>
      <c r="I207" t="s">
        <v>22</v>
      </c>
      <c r="J207">
        <v>1961</v>
      </c>
      <c r="K207">
        <f>2026-Table1[[#This Row],[Birthyear]]</f>
        <v>65</v>
      </c>
      <c r="L207" t="s">
        <v>1290</v>
      </c>
      <c r="M207" t="s">
        <v>1290</v>
      </c>
      <c r="N207" t="s">
        <v>1291</v>
      </c>
      <c r="S207" t="s">
        <v>1517</v>
      </c>
      <c r="T207" t="str">
        <f>CONCATENATE(Table1[[#This Row],[Name]]," ",Table1[[#This Row],[Surname/Studio Name/Artistic Name]])</f>
        <v>Umberto Ciceri</v>
      </c>
    </row>
    <row r="208" spans="1:20" x14ac:dyDescent="0.35">
      <c r="A208">
        <v>207</v>
      </c>
      <c r="B208" t="s">
        <v>407</v>
      </c>
      <c r="C208" t="s">
        <v>408</v>
      </c>
      <c r="D208" t="s">
        <v>1892</v>
      </c>
      <c r="E208" t="s">
        <v>1916</v>
      </c>
      <c r="F208" t="s">
        <v>25</v>
      </c>
      <c r="G208" t="s">
        <v>1916</v>
      </c>
      <c r="H208" t="s">
        <v>26</v>
      </c>
      <c r="J208">
        <v>1964</v>
      </c>
      <c r="K208">
        <f>2026-Table1[[#This Row],[Birthyear]]</f>
        <v>62</v>
      </c>
      <c r="L208" t="s">
        <v>1293</v>
      </c>
      <c r="M208" t="s">
        <v>1293</v>
      </c>
      <c r="N208" t="s">
        <v>1294</v>
      </c>
      <c r="T208" t="str">
        <f>CONCATENATE(Table1[[#This Row],[Name]]," ",Table1[[#This Row],[Surname/Studio Name/Artistic Name]])</f>
        <v>Tom Claassen</v>
      </c>
    </row>
    <row r="209" spans="1:20" x14ac:dyDescent="0.35">
      <c r="A209">
        <v>208</v>
      </c>
      <c r="B209" t="s">
        <v>409</v>
      </c>
      <c r="D209" t="s">
        <v>1892</v>
      </c>
      <c r="E209" t="s">
        <v>1916</v>
      </c>
      <c r="F209" t="s">
        <v>20</v>
      </c>
      <c r="G209" t="s">
        <v>1916</v>
      </c>
      <c r="H209" t="s">
        <v>26</v>
      </c>
      <c r="J209">
        <v>1990</v>
      </c>
      <c r="K209">
        <f>2026-Table1[[#This Row],[Birthyear]]</f>
        <v>36</v>
      </c>
      <c r="L209" t="s">
        <v>1315</v>
      </c>
      <c r="M209" t="s">
        <v>1315</v>
      </c>
      <c r="N209" t="s">
        <v>1291</v>
      </c>
      <c r="S209" t="s">
        <v>1518</v>
      </c>
      <c r="T209" t="str">
        <f>CONCATENATE(Table1[[#This Row],[Name]]," ",Table1[[#This Row],[Surname/Studio Name/Artistic Name]])</f>
        <v xml:space="preserve"> Claudio Rimmele &amp; Martin Binder</v>
      </c>
    </row>
    <row r="210" spans="1:20" x14ac:dyDescent="0.35">
      <c r="A210">
        <v>209</v>
      </c>
      <c r="B210" t="s">
        <v>410</v>
      </c>
      <c r="C210" t="s">
        <v>411</v>
      </c>
      <c r="D210" t="s">
        <v>1892</v>
      </c>
      <c r="E210" t="s">
        <v>1916</v>
      </c>
      <c r="F210" t="s">
        <v>20</v>
      </c>
      <c r="G210" t="s">
        <v>1916</v>
      </c>
      <c r="H210" t="s">
        <v>21</v>
      </c>
      <c r="I210" t="s">
        <v>22</v>
      </c>
      <c r="J210">
        <v>1963</v>
      </c>
      <c r="K210">
        <f>2026-Table1[[#This Row],[Birthyear]]</f>
        <v>63</v>
      </c>
      <c r="L210" t="s">
        <v>1315</v>
      </c>
      <c r="M210" t="s">
        <v>1315</v>
      </c>
      <c r="N210" t="s">
        <v>1309</v>
      </c>
      <c r="S210" t="s">
        <v>1518</v>
      </c>
      <c r="T210" t="str">
        <f>CONCATENATE(Table1[[#This Row],[Name]]," ",Table1[[#This Row],[Surname/Studio Name/Artistic Name]])</f>
        <v>Annick Collins</v>
      </c>
    </row>
    <row r="211" spans="1:20" x14ac:dyDescent="0.35">
      <c r="A211">
        <v>210</v>
      </c>
      <c r="B211" t="s">
        <v>412</v>
      </c>
      <c r="C211" t="s">
        <v>413</v>
      </c>
      <c r="D211" t="s">
        <v>1892</v>
      </c>
      <c r="E211" t="s">
        <v>1916</v>
      </c>
      <c r="F211" t="s">
        <v>20</v>
      </c>
      <c r="G211" t="s">
        <v>1916</v>
      </c>
      <c r="H211" t="s">
        <v>26</v>
      </c>
      <c r="J211">
        <v>1965</v>
      </c>
      <c r="K211">
        <f>2026-Table1[[#This Row],[Birthyear]]</f>
        <v>61</v>
      </c>
      <c r="L211" t="s">
        <v>1914</v>
      </c>
      <c r="M211" t="s">
        <v>1425</v>
      </c>
      <c r="N211" t="s">
        <v>1296</v>
      </c>
      <c r="P211">
        <v>2019</v>
      </c>
      <c r="Q211" t="s">
        <v>1519</v>
      </c>
      <c r="T211" t="str">
        <f>CONCATENATE(Table1[[#This Row],[Name]]," ",Table1[[#This Row],[Surname/Studio Name/Artistic Name]])</f>
        <v>Oscar A. Comendador</v>
      </c>
    </row>
    <row r="212" spans="1:20" x14ac:dyDescent="0.35">
      <c r="A212">
        <v>211</v>
      </c>
      <c r="B212" t="s">
        <v>415</v>
      </c>
      <c r="C212" t="s">
        <v>416</v>
      </c>
      <c r="D212" t="s">
        <v>1892</v>
      </c>
      <c r="E212" t="s">
        <v>1916</v>
      </c>
      <c r="F212" t="s">
        <v>25</v>
      </c>
      <c r="G212" t="s">
        <v>1916</v>
      </c>
      <c r="H212" t="s">
        <v>21</v>
      </c>
      <c r="I212" t="s">
        <v>22</v>
      </c>
      <c r="J212">
        <v>1983</v>
      </c>
      <c r="K212">
        <f>2026-Table1[[#This Row],[Birthyear]]</f>
        <v>43</v>
      </c>
      <c r="L212" t="s">
        <v>1293</v>
      </c>
      <c r="M212" t="s">
        <v>1293</v>
      </c>
      <c r="N212" t="s">
        <v>1294</v>
      </c>
      <c r="T212" t="str">
        <f>CONCATENATE(Table1[[#This Row],[Name]]," ",Table1[[#This Row],[Surname/Studio Name/Artistic Name]])</f>
        <v>Claudia Comte</v>
      </c>
    </row>
    <row r="213" spans="1:20" x14ac:dyDescent="0.35">
      <c r="A213">
        <v>212</v>
      </c>
      <c r="B213" t="s">
        <v>418</v>
      </c>
      <c r="C213" t="s">
        <v>419</v>
      </c>
      <c r="D213" t="s">
        <v>1892</v>
      </c>
      <c r="E213" t="s">
        <v>1916</v>
      </c>
      <c r="F213" t="s">
        <v>20</v>
      </c>
      <c r="G213" t="s">
        <v>1916</v>
      </c>
      <c r="H213" t="s">
        <v>26</v>
      </c>
      <c r="J213">
        <v>1951</v>
      </c>
      <c r="K213">
        <f>2026-Table1[[#This Row],[Birthyear]]</f>
        <v>75</v>
      </c>
      <c r="L213" t="s">
        <v>1315</v>
      </c>
      <c r="M213" t="s">
        <v>1315</v>
      </c>
      <c r="N213" t="s">
        <v>1327</v>
      </c>
      <c r="S213" t="s">
        <v>1316</v>
      </c>
      <c r="T213" t="str">
        <f>CONCATENATE(Table1[[#This Row],[Name]]," ",Table1[[#This Row],[Surname/Studio Name/Artistic Name]])</f>
        <v>Ramon Conde</v>
      </c>
    </row>
    <row r="214" spans="1:20" x14ac:dyDescent="0.35">
      <c r="A214">
        <v>213</v>
      </c>
      <c r="B214" t="s">
        <v>420</v>
      </c>
      <c r="C214" t="s">
        <v>421</v>
      </c>
      <c r="D214" t="s">
        <v>1892</v>
      </c>
      <c r="E214" t="s">
        <v>1916</v>
      </c>
      <c r="F214" t="s">
        <v>25</v>
      </c>
      <c r="G214" t="s">
        <v>1916</v>
      </c>
      <c r="H214" t="s">
        <v>21</v>
      </c>
      <c r="J214">
        <v>1949</v>
      </c>
      <c r="K214">
        <f>2026-Table1[[#This Row],[Birthyear]]</f>
        <v>77</v>
      </c>
      <c r="L214" t="s">
        <v>1293</v>
      </c>
      <c r="M214" t="s">
        <v>1293</v>
      </c>
      <c r="N214" t="s">
        <v>1309</v>
      </c>
      <c r="T214" t="str">
        <f>CONCATENATE(Table1[[#This Row],[Name]]," ",Table1[[#This Row],[Surname/Studio Name/Artistic Name]])</f>
        <v>Barbara Cooper</v>
      </c>
    </row>
    <row r="215" spans="1:20" x14ac:dyDescent="0.35">
      <c r="A215">
        <v>214</v>
      </c>
      <c r="B215" t="s">
        <v>422</v>
      </c>
      <c r="C215" t="s">
        <v>423</v>
      </c>
      <c r="D215" t="s">
        <v>1892</v>
      </c>
      <c r="E215" t="s">
        <v>1916</v>
      </c>
      <c r="F215" t="s">
        <v>25</v>
      </c>
      <c r="G215" t="s">
        <v>1916</v>
      </c>
      <c r="H215" t="s">
        <v>21</v>
      </c>
      <c r="J215">
        <v>1970</v>
      </c>
      <c r="K215">
        <f>2026-Table1[[#This Row],[Birthyear]]</f>
        <v>56</v>
      </c>
      <c r="L215" t="s">
        <v>1293</v>
      </c>
      <c r="M215" t="s">
        <v>1293</v>
      </c>
      <c r="N215" t="s">
        <v>1309</v>
      </c>
      <c r="T215" t="str">
        <f>CONCATENATE(Table1[[#This Row],[Name]]," ",Table1[[#This Row],[Surname/Studio Name/Artistic Name]])</f>
        <v>Christine Corday</v>
      </c>
    </row>
    <row r="216" spans="1:20" x14ac:dyDescent="0.35">
      <c r="A216">
        <v>215</v>
      </c>
      <c r="B216" t="s">
        <v>424</v>
      </c>
      <c r="C216" t="s">
        <v>425</v>
      </c>
      <c r="D216" t="s">
        <v>1892</v>
      </c>
      <c r="E216" t="s">
        <v>1916</v>
      </c>
      <c r="F216" t="s">
        <v>20</v>
      </c>
      <c r="G216" t="s">
        <v>1916</v>
      </c>
      <c r="H216" t="s">
        <v>21</v>
      </c>
      <c r="J216">
        <v>1945</v>
      </c>
      <c r="K216">
        <f>2026-Table1[[#This Row],[Birthyear]]</f>
        <v>81</v>
      </c>
      <c r="L216" t="s">
        <v>1900</v>
      </c>
      <c r="M216" t="s">
        <v>1310</v>
      </c>
      <c r="N216" t="s">
        <v>1296</v>
      </c>
      <c r="O216" t="s">
        <v>1520</v>
      </c>
      <c r="P216">
        <v>2019</v>
      </c>
      <c r="Q216" t="s">
        <v>1302</v>
      </c>
      <c r="R216" t="s">
        <v>1312</v>
      </c>
      <c r="S216" t="s">
        <v>1313</v>
      </c>
      <c r="T216" t="str">
        <f>CONCATENATE(Table1[[#This Row],[Name]]," ",Table1[[#This Row],[Surname/Studio Name/Artistic Name]])</f>
        <v>Mary Corse</v>
      </c>
    </row>
    <row r="217" spans="1:20" x14ac:dyDescent="0.35">
      <c r="A217">
        <v>216</v>
      </c>
      <c r="B217" t="s">
        <v>426</v>
      </c>
      <c r="C217" t="s">
        <v>427</v>
      </c>
      <c r="D217" t="s">
        <v>1892</v>
      </c>
      <c r="E217" t="s">
        <v>1916</v>
      </c>
      <c r="F217" t="s">
        <v>20</v>
      </c>
      <c r="G217" t="s">
        <v>1916</v>
      </c>
      <c r="H217" t="s">
        <v>21</v>
      </c>
      <c r="I217" t="s">
        <v>22</v>
      </c>
      <c r="J217">
        <v>1986</v>
      </c>
      <c r="K217">
        <f>2026-Table1[[#This Row],[Birthyear]]</f>
        <v>40</v>
      </c>
      <c r="L217" t="s">
        <v>1290</v>
      </c>
      <c r="M217" t="s">
        <v>1290</v>
      </c>
      <c r="N217" t="s">
        <v>1291</v>
      </c>
      <c r="S217" t="s">
        <v>1521</v>
      </c>
      <c r="T217" t="str">
        <f>CONCATENATE(Table1[[#This Row],[Name]]," ",Table1[[#This Row],[Surname/Studio Name/Artistic Name]])</f>
        <v>Petra Cortright</v>
      </c>
    </row>
    <row r="218" spans="1:20" x14ac:dyDescent="0.35">
      <c r="A218">
        <v>217</v>
      </c>
      <c r="B218" t="s">
        <v>428</v>
      </c>
      <c r="C218" t="s">
        <v>429</v>
      </c>
      <c r="D218" t="s">
        <v>1892</v>
      </c>
      <c r="E218" t="s">
        <v>1916</v>
      </c>
      <c r="F218" t="s">
        <v>20</v>
      </c>
      <c r="G218" t="s">
        <v>1916</v>
      </c>
      <c r="H218" t="s">
        <v>26</v>
      </c>
      <c r="J218">
        <v>1978</v>
      </c>
      <c r="K218">
        <f>2026-Table1[[#This Row],[Birthyear]]</f>
        <v>48</v>
      </c>
      <c r="L218" t="s">
        <v>1900</v>
      </c>
      <c r="M218" t="s">
        <v>1295</v>
      </c>
      <c r="N218" t="s">
        <v>1296</v>
      </c>
      <c r="O218" t="s">
        <v>1522</v>
      </c>
      <c r="P218">
        <v>2018</v>
      </c>
      <c r="Q218" t="s">
        <v>1298</v>
      </c>
      <c r="R218" t="s">
        <v>1467</v>
      </c>
      <c r="T218" t="str">
        <f>CONCATENATE(Table1[[#This Row],[Name]]," ",Table1[[#This Row],[Surname/Studio Name/Artistic Name]])</f>
        <v>Guillaume  Cousin</v>
      </c>
    </row>
    <row r="219" spans="1:20" x14ac:dyDescent="0.35">
      <c r="A219">
        <v>218</v>
      </c>
      <c r="B219" t="s">
        <v>430</v>
      </c>
      <c r="C219" t="s">
        <v>431</v>
      </c>
      <c r="D219" t="s">
        <v>1892</v>
      </c>
      <c r="E219" t="s">
        <v>1916</v>
      </c>
      <c r="F219" t="s">
        <v>20</v>
      </c>
      <c r="G219" t="s">
        <v>1916</v>
      </c>
      <c r="H219" t="s">
        <v>26</v>
      </c>
      <c r="J219">
        <v>1961</v>
      </c>
      <c r="K219">
        <f>2026-Table1[[#This Row],[Birthyear]]</f>
        <v>65</v>
      </c>
      <c r="L219" t="s">
        <v>1914</v>
      </c>
      <c r="M219" t="s">
        <v>1326</v>
      </c>
      <c r="N219" t="s">
        <v>1327</v>
      </c>
      <c r="T219" t="str">
        <f>CONCATENATE(Table1[[#This Row],[Name]]," ",Table1[[#This Row],[Surname/Studio Name/Artistic Name]])</f>
        <v>Djordje Cpajak</v>
      </c>
    </row>
    <row r="220" spans="1:20" x14ac:dyDescent="0.35">
      <c r="A220">
        <v>219</v>
      </c>
      <c r="B220" t="s">
        <v>432</v>
      </c>
      <c r="C220" t="s">
        <v>433</v>
      </c>
      <c r="D220" t="s">
        <v>1892</v>
      </c>
      <c r="E220" t="s">
        <v>1916</v>
      </c>
      <c r="F220" t="s">
        <v>20</v>
      </c>
      <c r="G220" t="s">
        <v>1916</v>
      </c>
      <c r="H220" t="s">
        <v>26</v>
      </c>
      <c r="I220" t="s">
        <v>22</v>
      </c>
      <c r="J220">
        <v>1949</v>
      </c>
      <c r="K220">
        <f>2026-Table1[[#This Row],[Birthyear]]</f>
        <v>77</v>
      </c>
      <c r="L220" t="s">
        <v>1290</v>
      </c>
      <c r="M220" t="s">
        <v>1290</v>
      </c>
      <c r="N220" t="s">
        <v>1291</v>
      </c>
      <c r="S220" t="s">
        <v>1523</v>
      </c>
      <c r="T220" t="str">
        <f>CONCATENATE(Table1[[#This Row],[Name]]," ",Table1[[#This Row],[Surname/Studio Name/Artistic Name]])</f>
        <v>Tony Cragg</v>
      </c>
    </row>
    <row r="221" spans="1:20" x14ac:dyDescent="0.35">
      <c r="A221">
        <v>220</v>
      </c>
      <c r="B221" t="s">
        <v>434</v>
      </c>
      <c r="C221" t="s">
        <v>435</v>
      </c>
      <c r="D221" t="s">
        <v>1892</v>
      </c>
      <c r="E221" t="s">
        <v>1916</v>
      </c>
      <c r="F221" t="s">
        <v>20</v>
      </c>
      <c r="G221" t="s">
        <v>1916</v>
      </c>
      <c r="H221" t="s">
        <v>21</v>
      </c>
      <c r="J221">
        <v>1978</v>
      </c>
      <c r="K221">
        <f>2026-Table1[[#This Row],[Birthyear]]</f>
        <v>48</v>
      </c>
      <c r="L221" t="s">
        <v>1290</v>
      </c>
      <c r="M221" t="s">
        <v>1290</v>
      </c>
      <c r="N221" t="s">
        <v>1337</v>
      </c>
      <c r="S221" t="s">
        <v>1338</v>
      </c>
      <c r="T221" t="str">
        <f>CONCATENATE(Table1[[#This Row],[Name]]," ",Table1[[#This Row],[Surname/Studio Name/Artistic Name]])</f>
        <v>Patricia Cunha</v>
      </c>
    </row>
    <row r="222" spans="1:20" x14ac:dyDescent="0.35">
      <c r="A222">
        <v>221</v>
      </c>
      <c r="B222" t="s">
        <v>436</v>
      </c>
      <c r="C222" t="s">
        <v>377</v>
      </c>
      <c r="D222" t="s">
        <v>1892</v>
      </c>
      <c r="E222" t="s">
        <v>1916</v>
      </c>
      <c r="F222" t="s">
        <v>20</v>
      </c>
      <c r="G222" t="s">
        <v>1916</v>
      </c>
      <c r="H222" t="s">
        <v>26</v>
      </c>
      <c r="J222">
        <v>1974</v>
      </c>
      <c r="K222">
        <f>2026-Table1[[#This Row],[Birthyear]]</f>
        <v>52</v>
      </c>
      <c r="L222" t="s">
        <v>1900</v>
      </c>
      <c r="M222" t="s">
        <v>1317</v>
      </c>
      <c r="N222" t="s">
        <v>1296</v>
      </c>
      <c r="O222" t="s">
        <v>1524</v>
      </c>
      <c r="P222">
        <v>2023</v>
      </c>
      <c r="Q222" t="s">
        <v>1302</v>
      </c>
      <c r="R222" t="s">
        <v>1382</v>
      </c>
      <c r="S222" t="s">
        <v>1341</v>
      </c>
      <c r="T222" t="str">
        <f>CONCATENATE(Table1[[#This Row],[Name]]," ",Table1[[#This Row],[Surname/Studio Name/Artistic Name]])</f>
        <v>Jose Dávila​</v>
      </c>
    </row>
    <row r="223" spans="1:20" x14ac:dyDescent="0.35">
      <c r="A223">
        <v>222</v>
      </c>
      <c r="B223" t="s">
        <v>437</v>
      </c>
      <c r="C223" t="s">
        <v>438</v>
      </c>
      <c r="D223" t="s">
        <v>1892</v>
      </c>
      <c r="E223" t="s">
        <v>1916</v>
      </c>
      <c r="F223" t="s">
        <v>20</v>
      </c>
      <c r="G223" t="s">
        <v>1916</v>
      </c>
      <c r="H223" t="s">
        <v>26</v>
      </c>
      <c r="J223">
        <v>1974</v>
      </c>
      <c r="K223">
        <f>2026-Table1[[#This Row],[Birthyear]]</f>
        <v>52</v>
      </c>
      <c r="L223" t="s">
        <v>1290</v>
      </c>
      <c r="M223" t="s">
        <v>1290</v>
      </c>
      <c r="N223" t="s">
        <v>1337</v>
      </c>
      <c r="S223" t="s">
        <v>1338</v>
      </c>
      <c r="T223" t="str">
        <f>CONCATENATE(Table1[[#This Row],[Name]]," ",Table1[[#This Row],[Surname/Studio Name/Artistic Name]])</f>
        <v>Shezad Dawood</v>
      </c>
    </row>
    <row r="224" spans="1:20" x14ac:dyDescent="0.35">
      <c r="A224">
        <v>223</v>
      </c>
      <c r="B224" t="s">
        <v>439</v>
      </c>
      <c r="C224" t="s">
        <v>440</v>
      </c>
      <c r="D224" t="s">
        <v>1892</v>
      </c>
      <c r="E224" t="s">
        <v>1916</v>
      </c>
      <c r="F224" t="s">
        <v>25</v>
      </c>
      <c r="G224" t="s">
        <v>1916</v>
      </c>
      <c r="H224" t="s">
        <v>26</v>
      </c>
      <c r="I224" t="s">
        <v>22</v>
      </c>
      <c r="J224">
        <v>1966</v>
      </c>
      <c r="K224">
        <f>2026-Table1[[#This Row],[Birthyear]]</f>
        <v>60</v>
      </c>
      <c r="L224" t="s">
        <v>1293</v>
      </c>
      <c r="M224" t="s">
        <v>1293</v>
      </c>
      <c r="N224" t="s">
        <v>1309</v>
      </c>
      <c r="T224" t="str">
        <f>CONCATENATE(Table1[[#This Row],[Name]]," ",Table1[[#This Row],[Surname/Studio Name/Artistic Name]])</f>
        <v>Ayman Yossri Daydban</v>
      </c>
    </row>
    <row r="225" spans="1:20" x14ac:dyDescent="0.35">
      <c r="A225">
        <v>224</v>
      </c>
      <c r="B225" t="s">
        <v>441</v>
      </c>
      <c r="C225" t="s">
        <v>442</v>
      </c>
      <c r="D225" t="s">
        <v>1892</v>
      </c>
      <c r="E225" t="s">
        <v>1916</v>
      </c>
      <c r="F225" t="s">
        <v>20</v>
      </c>
      <c r="G225" t="s">
        <v>1916</v>
      </c>
      <c r="H225" t="s">
        <v>26</v>
      </c>
      <c r="I225" t="s">
        <v>22</v>
      </c>
      <c r="J225">
        <v>1978</v>
      </c>
      <c r="K225">
        <f>2026-Table1[[#This Row],[Birthyear]]</f>
        <v>48</v>
      </c>
      <c r="L225" t="s">
        <v>1290</v>
      </c>
      <c r="M225" t="s">
        <v>1290</v>
      </c>
      <c r="N225" t="s">
        <v>1296</v>
      </c>
      <c r="O225" t="s">
        <v>1525</v>
      </c>
      <c r="Q225" t="s">
        <v>1306</v>
      </c>
      <c r="R225" t="s">
        <v>1526</v>
      </c>
      <c r="S225" t="s">
        <v>1527</v>
      </c>
      <c r="T225" t="str">
        <f>CONCATENATE(Table1[[#This Row],[Name]]," ",Table1[[#This Row],[Surname/Studio Name/Artistic Name]])</f>
        <v>Marlon De Azambuja</v>
      </c>
    </row>
    <row r="226" spans="1:20" x14ac:dyDescent="0.35">
      <c r="A226">
        <v>225</v>
      </c>
      <c r="B226" t="s">
        <v>443</v>
      </c>
      <c r="C226" t="s">
        <v>444</v>
      </c>
      <c r="D226" t="s">
        <v>1892</v>
      </c>
      <c r="E226" t="s">
        <v>1916</v>
      </c>
      <c r="F226" t="s">
        <v>20</v>
      </c>
      <c r="G226" t="s">
        <v>1916</v>
      </c>
      <c r="H226" t="s">
        <v>26</v>
      </c>
      <c r="J226">
        <v>1970</v>
      </c>
      <c r="K226">
        <f>2026-Table1[[#This Row],[Birthyear]]</f>
        <v>56</v>
      </c>
      <c r="L226" t="s">
        <v>1900</v>
      </c>
      <c r="M226" t="s">
        <v>1295</v>
      </c>
      <c r="N226" t="s">
        <v>1296</v>
      </c>
      <c r="O226" t="s">
        <v>1528</v>
      </c>
      <c r="P226">
        <v>2025</v>
      </c>
      <c r="Q226" t="s">
        <v>1334</v>
      </c>
      <c r="R226" t="s">
        <v>1467</v>
      </c>
      <c r="T226" t="str">
        <f>CONCATENATE(Table1[[#This Row],[Name]]," ",Table1[[#This Row],[Surname/Studio Name/Artistic Name]])</f>
        <v>Marnix de Nijs</v>
      </c>
    </row>
    <row r="227" spans="1:20" x14ac:dyDescent="0.35">
      <c r="A227">
        <v>226</v>
      </c>
      <c r="B227" t="s">
        <v>445</v>
      </c>
      <c r="C227" t="s">
        <v>446</v>
      </c>
      <c r="D227" t="s">
        <v>1892</v>
      </c>
      <c r="E227" t="s">
        <v>1916</v>
      </c>
      <c r="F227" t="s">
        <v>20</v>
      </c>
      <c r="G227" t="s">
        <v>1916</v>
      </c>
      <c r="H227" t="s">
        <v>26</v>
      </c>
      <c r="J227">
        <v>1973</v>
      </c>
      <c r="K227">
        <f>2026-Table1[[#This Row],[Birthyear]]</f>
        <v>53</v>
      </c>
      <c r="L227" t="s">
        <v>1914</v>
      </c>
      <c r="M227" t="s">
        <v>1345</v>
      </c>
      <c r="N227" t="s">
        <v>1296</v>
      </c>
      <c r="O227" t="s">
        <v>1529</v>
      </c>
      <c r="P227">
        <v>2021</v>
      </c>
      <c r="Q227" t="s">
        <v>1344</v>
      </c>
      <c r="R227" t="s">
        <v>1299</v>
      </c>
      <c r="T227" t="str">
        <f>CONCATENATE(Table1[[#This Row],[Name]]," ",Table1[[#This Row],[Surname/Studio Name/Artistic Name]])</f>
        <v>Kim De Ruysscher</v>
      </c>
    </row>
    <row r="228" spans="1:20" x14ac:dyDescent="0.35">
      <c r="A228">
        <v>227</v>
      </c>
      <c r="B228" t="s">
        <v>448</v>
      </c>
      <c r="C228" t="s">
        <v>449</v>
      </c>
      <c r="D228" t="s">
        <v>1892</v>
      </c>
      <c r="E228" t="s">
        <v>1916</v>
      </c>
      <c r="F228" t="s">
        <v>20</v>
      </c>
      <c r="G228" t="s">
        <v>1916</v>
      </c>
      <c r="H228" t="s">
        <v>21</v>
      </c>
      <c r="J228">
        <v>1964</v>
      </c>
      <c r="K228">
        <f>2026-Table1[[#This Row],[Birthyear]]</f>
        <v>62</v>
      </c>
      <c r="L228" t="s">
        <v>1315</v>
      </c>
      <c r="M228" t="s">
        <v>1315</v>
      </c>
      <c r="N228" t="s">
        <v>1327</v>
      </c>
      <c r="S228" t="s">
        <v>1336</v>
      </c>
      <c r="T228" t="str">
        <f>CONCATENATE(Table1[[#This Row],[Name]]," ",Table1[[#This Row],[Surname/Studio Name/Artistic Name]])</f>
        <v>Roseline De Thelin</v>
      </c>
    </row>
    <row r="229" spans="1:20" x14ac:dyDescent="0.35">
      <c r="A229">
        <v>228</v>
      </c>
      <c r="B229" t="s">
        <v>450</v>
      </c>
      <c r="C229" t="s">
        <v>451</v>
      </c>
      <c r="D229" t="s">
        <v>1892</v>
      </c>
      <c r="E229" t="s">
        <v>1916</v>
      </c>
      <c r="F229" t="s">
        <v>25</v>
      </c>
      <c r="G229" t="s">
        <v>1916</v>
      </c>
      <c r="H229" t="s">
        <v>21</v>
      </c>
      <c r="J229">
        <v>1965</v>
      </c>
      <c r="K229">
        <f>2026-Table1[[#This Row],[Birthyear]]</f>
        <v>61</v>
      </c>
      <c r="L229" t="s">
        <v>1293</v>
      </c>
      <c r="M229" t="s">
        <v>1293</v>
      </c>
      <c r="N229" t="s">
        <v>1309</v>
      </c>
      <c r="T229" t="str">
        <f>CONCATENATE(Table1[[#This Row],[Name]]," ",Table1[[#This Row],[Surname/Studio Name/Artistic Name]])</f>
        <v>Katalin Deér</v>
      </c>
    </row>
    <row r="230" spans="1:20" x14ac:dyDescent="0.35">
      <c r="A230">
        <v>229</v>
      </c>
      <c r="B230" t="s">
        <v>452</v>
      </c>
      <c r="C230" t="s">
        <v>453</v>
      </c>
      <c r="D230" t="s">
        <v>1892</v>
      </c>
      <c r="E230" t="s">
        <v>1916</v>
      </c>
      <c r="F230" t="s">
        <v>20</v>
      </c>
      <c r="G230" t="s">
        <v>1916</v>
      </c>
      <c r="H230" t="s">
        <v>26</v>
      </c>
      <c r="J230">
        <v>1995</v>
      </c>
      <c r="K230">
        <f>2026-Table1[[#This Row],[Birthyear]]</f>
        <v>31</v>
      </c>
      <c r="L230" t="s">
        <v>1914</v>
      </c>
      <c r="M230" t="s">
        <v>1342</v>
      </c>
      <c r="N230" t="s">
        <v>1296</v>
      </c>
      <c r="O230" t="s">
        <v>1530</v>
      </c>
      <c r="P230">
        <v>2025</v>
      </c>
      <c r="Q230" t="s">
        <v>1344</v>
      </c>
      <c r="T230" t="str">
        <f>CONCATENATE(Table1[[#This Row],[Name]]," ",Table1[[#This Row],[Surname/Studio Name/Artistic Name]])</f>
        <v>Furkan Depeli</v>
      </c>
    </row>
    <row r="231" spans="1:20" x14ac:dyDescent="0.35">
      <c r="A231">
        <v>230</v>
      </c>
      <c r="B231" t="s">
        <v>454</v>
      </c>
      <c r="C231" t="s">
        <v>272</v>
      </c>
      <c r="D231" t="s">
        <v>1892</v>
      </c>
      <c r="E231" t="s">
        <v>1916</v>
      </c>
      <c r="F231" t="s">
        <v>20</v>
      </c>
      <c r="G231" t="s">
        <v>1916</v>
      </c>
      <c r="H231" t="s">
        <v>26</v>
      </c>
      <c r="J231">
        <v>1988</v>
      </c>
      <c r="K231">
        <f>2026-Table1[[#This Row],[Birthyear]]</f>
        <v>38</v>
      </c>
      <c r="L231" t="s">
        <v>1357</v>
      </c>
      <c r="M231" t="s">
        <v>1357</v>
      </c>
      <c r="N231" t="s">
        <v>1294</v>
      </c>
      <c r="S231" t="s">
        <v>1531</v>
      </c>
      <c r="T231" t="str">
        <f>CONCATENATE(Table1[[#This Row],[Name]]," ",Table1[[#This Row],[Surname/Studio Name/Artistic Name]])</f>
        <v>David Deroo</v>
      </c>
    </row>
    <row r="232" spans="1:20" x14ac:dyDescent="0.35">
      <c r="A232">
        <v>231</v>
      </c>
      <c r="B232" t="s">
        <v>455</v>
      </c>
      <c r="C232" t="s">
        <v>456</v>
      </c>
      <c r="D232" t="s">
        <v>1892</v>
      </c>
      <c r="E232" t="s">
        <v>1916</v>
      </c>
      <c r="F232" t="s">
        <v>25</v>
      </c>
      <c r="G232" t="s">
        <v>1916</v>
      </c>
      <c r="H232" t="s">
        <v>21</v>
      </c>
      <c r="J232">
        <v>1971</v>
      </c>
      <c r="K232">
        <f>2026-Table1[[#This Row],[Birthyear]]</f>
        <v>55</v>
      </c>
      <c r="L232" t="s">
        <v>1290</v>
      </c>
      <c r="M232" t="s">
        <v>1290</v>
      </c>
      <c r="N232" t="s">
        <v>1291</v>
      </c>
      <c r="S232" t="s">
        <v>1532</v>
      </c>
      <c r="T232" t="str">
        <f>CONCATENATE(Table1[[#This Row],[Name]]," ",Table1[[#This Row],[Surname/Studio Name/Artistic Name]])</f>
        <v>Es Devlin</v>
      </c>
    </row>
    <row r="233" spans="1:20" x14ac:dyDescent="0.35">
      <c r="A233">
        <v>232</v>
      </c>
      <c r="B233" t="s">
        <v>457</v>
      </c>
      <c r="C233" t="s">
        <v>458</v>
      </c>
      <c r="D233" t="s">
        <v>1892</v>
      </c>
      <c r="E233" t="s">
        <v>1916</v>
      </c>
      <c r="F233" t="s">
        <v>20</v>
      </c>
      <c r="G233" t="s">
        <v>1916</v>
      </c>
      <c r="H233" t="s">
        <v>26</v>
      </c>
      <c r="J233">
        <v>1990</v>
      </c>
      <c r="K233">
        <f>2026-Table1[[#This Row],[Birthyear]]</f>
        <v>36</v>
      </c>
      <c r="L233" t="s">
        <v>1315</v>
      </c>
      <c r="M233" t="s">
        <v>1315</v>
      </c>
      <c r="N233" t="s">
        <v>1327</v>
      </c>
      <c r="S233" t="s">
        <v>1533</v>
      </c>
      <c r="T233" t="str">
        <f>CONCATENATE(Table1[[#This Row],[Name]]," ",Table1[[#This Row],[Surname/Studio Name/Artistic Name]])</f>
        <v>Mattia Di Meo</v>
      </c>
    </row>
    <row r="234" spans="1:20" x14ac:dyDescent="0.35">
      <c r="A234">
        <v>233</v>
      </c>
      <c r="B234" t="s">
        <v>459</v>
      </c>
      <c r="C234" t="s">
        <v>460</v>
      </c>
      <c r="D234" t="s">
        <v>1892</v>
      </c>
      <c r="E234" t="s">
        <v>1916</v>
      </c>
      <c r="F234" t="s">
        <v>20</v>
      </c>
      <c r="G234" t="s">
        <v>1916</v>
      </c>
      <c r="H234" t="s">
        <v>26</v>
      </c>
      <c r="J234">
        <v>1958</v>
      </c>
      <c r="K234">
        <f>2026-Table1[[#This Row],[Birthyear]]</f>
        <v>68</v>
      </c>
      <c r="L234" t="s">
        <v>1914</v>
      </c>
      <c r="M234" t="s">
        <v>1396</v>
      </c>
      <c r="N234" t="s">
        <v>1296</v>
      </c>
      <c r="O234" t="s">
        <v>1534</v>
      </c>
      <c r="P234">
        <v>2020</v>
      </c>
      <c r="Q234" t="s">
        <v>1344</v>
      </c>
      <c r="T234" t="str">
        <f>CONCATENATE(Table1[[#This Row],[Name]]," ",Table1[[#This Row],[Surname/Studio Name/Artistic Name]])</f>
        <v>Marino Di Prospero</v>
      </c>
    </row>
    <row r="235" spans="1:20" x14ac:dyDescent="0.35">
      <c r="A235">
        <v>234</v>
      </c>
      <c r="B235" t="s">
        <v>461</v>
      </c>
      <c r="C235" t="s">
        <v>462</v>
      </c>
      <c r="D235" t="s">
        <v>1892</v>
      </c>
      <c r="E235" t="s">
        <v>1916</v>
      </c>
      <c r="F235" t="s">
        <v>20</v>
      </c>
      <c r="G235" t="s">
        <v>1916</v>
      </c>
      <c r="H235" t="s">
        <v>26</v>
      </c>
      <c r="J235">
        <v>1940</v>
      </c>
      <c r="K235">
        <f>2026-Table1[[#This Row],[Birthyear]]</f>
        <v>86</v>
      </c>
      <c r="L235" t="s">
        <v>1914</v>
      </c>
      <c r="M235" t="s">
        <v>1425</v>
      </c>
      <c r="N235" t="s">
        <v>1296</v>
      </c>
      <c r="P235">
        <v>2019</v>
      </c>
      <c r="Q235" t="s">
        <v>1344</v>
      </c>
      <c r="T235" t="str">
        <f>CONCATENATE(Table1[[#This Row],[Name]]," ",Table1[[#This Row],[Surname/Studio Name/Artistic Name]])</f>
        <v>Fabrizio Dieci</v>
      </c>
    </row>
    <row r="236" spans="1:20" x14ac:dyDescent="0.35">
      <c r="A236">
        <v>235</v>
      </c>
      <c r="B236" t="s">
        <v>463</v>
      </c>
      <c r="C236" t="s">
        <v>464</v>
      </c>
      <c r="D236" t="s">
        <v>1892</v>
      </c>
      <c r="E236" t="s">
        <v>1916</v>
      </c>
      <c r="F236" t="s">
        <v>20</v>
      </c>
      <c r="G236" t="s">
        <v>1916</v>
      </c>
      <c r="H236" t="s">
        <v>26</v>
      </c>
      <c r="J236">
        <v>1966</v>
      </c>
      <c r="K236">
        <f>2026-Table1[[#This Row],[Birthyear]]</f>
        <v>60</v>
      </c>
      <c r="L236" t="s">
        <v>1315</v>
      </c>
      <c r="M236" t="s">
        <v>1315</v>
      </c>
      <c r="N236" t="s">
        <v>1327</v>
      </c>
      <c r="S236" t="s">
        <v>1316</v>
      </c>
      <c r="T236" t="str">
        <f>CONCATENATE(Table1[[#This Row],[Name]]," ",Table1[[#This Row],[Surname/Studio Name/Artistic Name]])</f>
        <v>Jordi Diez</v>
      </c>
    </row>
    <row r="237" spans="1:20" x14ac:dyDescent="0.35">
      <c r="A237">
        <v>236</v>
      </c>
      <c r="B237" t="s">
        <v>465</v>
      </c>
      <c r="C237" t="s">
        <v>360</v>
      </c>
      <c r="D237" t="s">
        <v>1892</v>
      </c>
      <c r="E237" t="s">
        <v>1916</v>
      </c>
      <c r="F237" t="s">
        <v>25</v>
      </c>
      <c r="G237" t="s">
        <v>1916</v>
      </c>
      <c r="H237" t="s">
        <v>26</v>
      </c>
      <c r="J237">
        <v>1935</v>
      </c>
      <c r="K237">
        <f>2026-Table1[[#This Row],[Birthyear]]</f>
        <v>91</v>
      </c>
      <c r="L237" t="s">
        <v>1293</v>
      </c>
      <c r="M237" t="s">
        <v>1293</v>
      </c>
      <c r="N237" t="s">
        <v>1309</v>
      </c>
      <c r="T237" t="str">
        <f>CONCATENATE(Table1[[#This Row],[Name]]," ",Table1[[#This Row],[Surname/Studio Name/Artistic Name]])</f>
        <v>Jim Dine</v>
      </c>
    </row>
    <row r="238" spans="1:20" x14ac:dyDescent="0.35">
      <c r="A238">
        <v>237</v>
      </c>
      <c r="B238" t="s">
        <v>466</v>
      </c>
      <c r="D238" t="s">
        <v>1892</v>
      </c>
      <c r="E238" t="s">
        <v>1916</v>
      </c>
      <c r="F238" t="s">
        <v>25</v>
      </c>
      <c r="G238" t="s">
        <v>1916</v>
      </c>
      <c r="H238" t="s">
        <v>26</v>
      </c>
      <c r="J238">
        <v>1980</v>
      </c>
      <c r="K238">
        <f>2026-Table1[[#This Row],[Birthyear]]</f>
        <v>46</v>
      </c>
      <c r="L238" t="s">
        <v>1290</v>
      </c>
      <c r="M238" t="s">
        <v>1290</v>
      </c>
      <c r="N238" t="s">
        <v>1291</v>
      </c>
      <c r="S238" t="s">
        <v>1535</v>
      </c>
      <c r="T238" t="str">
        <f>CONCATENATE(Table1[[#This Row],[Name]]," ",Table1[[#This Row],[Surname/Studio Name/Artistic Name]])</f>
        <v xml:space="preserve"> Diogo Machado ADD FUEL</v>
      </c>
    </row>
    <row r="239" spans="1:20" x14ac:dyDescent="0.35">
      <c r="A239">
        <v>238</v>
      </c>
      <c r="B239" t="s">
        <v>467</v>
      </c>
      <c r="C239" t="s">
        <v>468</v>
      </c>
      <c r="D239" t="s">
        <v>1892</v>
      </c>
      <c r="E239" t="s">
        <v>1916</v>
      </c>
      <c r="F239" t="s">
        <v>20</v>
      </c>
      <c r="G239" t="s">
        <v>1916</v>
      </c>
      <c r="H239" t="s">
        <v>26</v>
      </c>
      <c r="J239">
        <v>1985</v>
      </c>
      <c r="K239">
        <f>2026-Table1[[#This Row],[Birthyear]]</f>
        <v>41</v>
      </c>
      <c r="L239" t="s">
        <v>1900</v>
      </c>
      <c r="M239" t="s">
        <v>1322</v>
      </c>
      <c r="N239" t="s">
        <v>1296</v>
      </c>
      <c r="O239" t="s">
        <v>1536</v>
      </c>
      <c r="P239">
        <v>2024</v>
      </c>
      <c r="Q239" t="s">
        <v>1302</v>
      </c>
      <c r="R239" t="s">
        <v>1299</v>
      </c>
      <c r="T239" t="str">
        <f>CONCATENATE(Table1[[#This Row],[Name]]," ",Table1[[#This Row],[Surname/Studio Name/Artistic Name]])</f>
        <v>Edoardo Dionea Cicconi</v>
      </c>
    </row>
    <row r="240" spans="1:20" x14ac:dyDescent="0.35">
      <c r="A240">
        <v>239</v>
      </c>
      <c r="B240" t="s">
        <v>469</v>
      </c>
      <c r="C240" t="s">
        <v>264</v>
      </c>
      <c r="D240" t="s">
        <v>1892</v>
      </c>
      <c r="E240" t="s">
        <v>1916</v>
      </c>
      <c r="F240" t="s">
        <v>20</v>
      </c>
      <c r="G240" t="s">
        <v>1916</v>
      </c>
      <c r="H240" t="s">
        <v>26</v>
      </c>
      <c r="J240">
        <v>1989</v>
      </c>
      <c r="K240">
        <f>2026-Table1[[#This Row],[Birthyear]]</f>
        <v>37</v>
      </c>
      <c r="L240" t="s">
        <v>1900</v>
      </c>
      <c r="M240" t="s">
        <v>1317</v>
      </c>
      <c r="N240" t="s">
        <v>1296</v>
      </c>
      <c r="O240" t="s">
        <v>1537</v>
      </c>
      <c r="P240">
        <v>2023</v>
      </c>
      <c r="Q240" t="s">
        <v>1298</v>
      </c>
      <c r="R240" t="s">
        <v>1355</v>
      </c>
      <c r="S240" t="s">
        <v>1341</v>
      </c>
      <c r="T240" t="str">
        <f>CONCATENATE(Table1[[#This Row],[Name]]," ",Table1[[#This Row],[Surname/Studio Name/Artistic Name]])</f>
        <v>Rafael Domenech​</v>
      </c>
    </row>
    <row r="241" spans="1:20" x14ac:dyDescent="0.35">
      <c r="A241">
        <v>240</v>
      </c>
      <c r="B241" t="s">
        <v>470</v>
      </c>
      <c r="C241" t="s">
        <v>391</v>
      </c>
      <c r="D241" t="s">
        <v>1892</v>
      </c>
      <c r="E241" t="s">
        <v>1916</v>
      </c>
      <c r="F241" t="s">
        <v>20</v>
      </c>
      <c r="G241" t="s">
        <v>1916</v>
      </c>
      <c r="H241" t="s">
        <v>26</v>
      </c>
      <c r="I241" t="s">
        <v>22</v>
      </c>
      <c r="J241">
        <v>1979</v>
      </c>
      <c r="K241">
        <f>2026-Table1[[#This Row],[Birthyear]]</f>
        <v>47</v>
      </c>
      <c r="L241" t="s">
        <v>1290</v>
      </c>
      <c r="M241" t="s">
        <v>1290</v>
      </c>
      <c r="N241" t="s">
        <v>1291</v>
      </c>
      <c r="S241" t="s">
        <v>1538</v>
      </c>
      <c r="T241" t="str">
        <f>CONCATENATE(Table1[[#This Row],[Name]]," ",Table1[[#This Row],[Surname/Studio Name/Artistic Name]])</f>
        <v>Alex Dorici</v>
      </c>
    </row>
    <row r="242" spans="1:20" x14ac:dyDescent="0.35">
      <c r="A242">
        <v>241</v>
      </c>
      <c r="B242" t="s">
        <v>471</v>
      </c>
      <c r="C242" t="s">
        <v>472</v>
      </c>
      <c r="D242" t="s">
        <v>1892</v>
      </c>
      <c r="E242" t="s">
        <v>1916</v>
      </c>
      <c r="F242" t="s">
        <v>20</v>
      </c>
      <c r="G242" t="s">
        <v>1916</v>
      </c>
      <c r="H242" t="s">
        <v>21</v>
      </c>
      <c r="J242">
        <v>1989</v>
      </c>
      <c r="K242">
        <f>2026-Table1[[#This Row],[Birthyear]]</f>
        <v>37</v>
      </c>
      <c r="L242" t="s">
        <v>1315</v>
      </c>
      <c r="M242" t="s">
        <v>1315</v>
      </c>
      <c r="N242" t="s">
        <v>1327</v>
      </c>
      <c r="S242" t="s">
        <v>1331</v>
      </c>
      <c r="T242" t="str">
        <f>CONCATENATE(Table1[[#This Row],[Name]]," ",Table1[[#This Row],[Surname/Studio Name/Artistic Name]])</f>
        <v>Xenia Dranysh</v>
      </c>
    </row>
    <row r="243" spans="1:20" x14ac:dyDescent="0.35">
      <c r="A243">
        <v>242</v>
      </c>
      <c r="B243" t="s">
        <v>473</v>
      </c>
      <c r="C243" t="s">
        <v>304</v>
      </c>
      <c r="D243" t="s">
        <v>1892</v>
      </c>
      <c r="E243" t="s">
        <v>1916</v>
      </c>
      <c r="F243" t="s">
        <v>20</v>
      </c>
      <c r="G243" t="s">
        <v>1916</v>
      </c>
      <c r="H243" t="s">
        <v>26</v>
      </c>
      <c r="J243">
        <v>1956</v>
      </c>
      <c r="K243">
        <f>2026-Table1[[#This Row],[Birthyear]]</f>
        <v>70</v>
      </c>
      <c r="L243" t="s">
        <v>1290</v>
      </c>
      <c r="M243" t="s">
        <v>1290</v>
      </c>
      <c r="N243" t="s">
        <v>1291</v>
      </c>
      <c r="S243" t="s">
        <v>1464</v>
      </c>
      <c r="T243" t="str">
        <f>CONCATENATE(Table1[[#This Row],[Name]]," ",Table1[[#This Row],[Surname/Studio Name/Artistic Name]])</f>
        <v>Wang Du</v>
      </c>
    </row>
    <row r="244" spans="1:20" x14ac:dyDescent="0.35">
      <c r="A244">
        <v>243</v>
      </c>
      <c r="B244" t="s">
        <v>474</v>
      </c>
      <c r="C244" t="s">
        <v>475</v>
      </c>
      <c r="D244" t="s">
        <v>1892</v>
      </c>
      <c r="E244" t="s">
        <v>1916</v>
      </c>
      <c r="F244" t="s">
        <v>25</v>
      </c>
      <c r="G244" t="s">
        <v>1916</v>
      </c>
      <c r="H244" t="s">
        <v>26</v>
      </c>
      <c r="J244">
        <v>1947</v>
      </c>
      <c r="K244">
        <f>2026-Table1[[#This Row],[Birthyear]]</f>
        <v>79</v>
      </c>
      <c r="L244" t="s">
        <v>1293</v>
      </c>
      <c r="M244" t="s">
        <v>1293</v>
      </c>
      <c r="N244" t="s">
        <v>1309</v>
      </c>
      <c r="T244" t="str">
        <f>CONCATENATE(Table1[[#This Row],[Name]]," ",Table1[[#This Row],[Surname/Studio Name/Artistic Name]])</f>
        <v>Michael Dunbar</v>
      </c>
    </row>
    <row r="245" spans="1:20" x14ac:dyDescent="0.35">
      <c r="A245">
        <v>244</v>
      </c>
      <c r="B245" t="s">
        <v>476</v>
      </c>
      <c r="C245" t="s">
        <v>477</v>
      </c>
      <c r="D245" t="s">
        <v>1892</v>
      </c>
      <c r="E245" t="s">
        <v>1916</v>
      </c>
      <c r="F245" t="s">
        <v>20</v>
      </c>
      <c r="G245" t="s">
        <v>1916</v>
      </c>
      <c r="H245" t="s">
        <v>26</v>
      </c>
      <c r="J245">
        <v>1961</v>
      </c>
      <c r="K245">
        <f>2026-Table1[[#This Row],[Birthyear]]</f>
        <v>65</v>
      </c>
      <c r="L245" t="s">
        <v>1900</v>
      </c>
      <c r="M245" t="s">
        <v>1317</v>
      </c>
      <c r="N245" t="s">
        <v>1296</v>
      </c>
      <c r="O245" t="s">
        <v>1539</v>
      </c>
      <c r="P245">
        <v>2023</v>
      </c>
      <c r="Q245" t="s">
        <v>1302</v>
      </c>
      <c r="R245" t="s">
        <v>1355</v>
      </c>
      <c r="S245" t="s">
        <v>1341</v>
      </c>
      <c r="T245" t="str">
        <f>CONCATENATE(Table1[[#This Row],[Name]]," ",Table1[[#This Row],[Surname/Studio Name/Artistic Name]])</f>
        <v>Sam Durant​</v>
      </c>
    </row>
    <row r="246" spans="1:20" x14ac:dyDescent="0.35">
      <c r="A246">
        <v>245</v>
      </c>
      <c r="B246" t="s">
        <v>478</v>
      </c>
      <c r="C246" t="s">
        <v>479</v>
      </c>
      <c r="D246" t="s">
        <v>1892</v>
      </c>
      <c r="E246" t="s">
        <v>1916</v>
      </c>
      <c r="F246" t="s">
        <v>20</v>
      </c>
      <c r="G246" t="s">
        <v>1916</v>
      </c>
      <c r="H246" t="s">
        <v>26</v>
      </c>
      <c r="J246">
        <v>1987</v>
      </c>
      <c r="K246">
        <f>2026-Table1[[#This Row],[Birthyear]]</f>
        <v>39</v>
      </c>
      <c r="L246" t="s">
        <v>1914</v>
      </c>
      <c r="M246" t="s">
        <v>1345</v>
      </c>
      <c r="N246" t="s">
        <v>1309</v>
      </c>
      <c r="T246" t="str">
        <f>CONCATENATE(Table1[[#This Row],[Name]]," ",Table1[[#This Row],[Surname/Studio Name/Artistic Name]])</f>
        <v>Gleb Dusavitskiy</v>
      </c>
    </row>
    <row r="247" spans="1:20" x14ac:dyDescent="0.35">
      <c r="A247">
        <v>246</v>
      </c>
      <c r="B247" t="s">
        <v>481</v>
      </c>
      <c r="C247" t="s">
        <v>482</v>
      </c>
      <c r="D247" t="s">
        <v>1892</v>
      </c>
      <c r="E247" t="s">
        <v>1916</v>
      </c>
      <c r="F247" t="s">
        <v>20</v>
      </c>
      <c r="G247" t="s">
        <v>1916</v>
      </c>
      <c r="H247" t="s">
        <v>26</v>
      </c>
      <c r="I247" t="s">
        <v>22</v>
      </c>
      <c r="J247">
        <v>1974</v>
      </c>
      <c r="K247">
        <f>2026-Table1[[#This Row],[Birthyear]]</f>
        <v>52</v>
      </c>
      <c r="L247" t="s">
        <v>1290</v>
      </c>
      <c r="M247" t="s">
        <v>1290</v>
      </c>
      <c r="N247" t="s">
        <v>1291</v>
      </c>
      <c r="S247" t="s">
        <v>1468</v>
      </c>
      <c r="T247" t="str">
        <f>CONCATENATE(Table1[[#This Row],[Name]]," ",Table1[[#This Row],[Surname/Studio Name/Artistic Name]])</f>
        <v>Marcel Dzama</v>
      </c>
    </row>
    <row r="248" spans="1:20" x14ac:dyDescent="0.35">
      <c r="A248">
        <v>247</v>
      </c>
      <c r="B248" t="s">
        <v>483</v>
      </c>
      <c r="C248" t="s">
        <v>484</v>
      </c>
      <c r="D248" t="s">
        <v>1892</v>
      </c>
      <c r="E248" t="s">
        <v>1916</v>
      </c>
      <c r="F248" t="s">
        <v>20</v>
      </c>
      <c r="G248" t="s">
        <v>1916</v>
      </c>
      <c r="H248" t="s">
        <v>26</v>
      </c>
      <c r="I248" t="s">
        <v>22</v>
      </c>
      <c r="J248">
        <v>1978</v>
      </c>
      <c r="K248">
        <f>2026-Table1[[#This Row],[Birthyear]]</f>
        <v>48</v>
      </c>
      <c r="L248" t="s">
        <v>1290</v>
      </c>
      <c r="M248" t="s">
        <v>1290</v>
      </c>
      <c r="N248" t="s">
        <v>1387</v>
      </c>
      <c r="O248" t="s">
        <v>1540</v>
      </c>
      <c r="Q248" t="s">
        <v>1306</v>
      </c>
      <c r="R248" t="s">
        <v>1541</v>
      </c>
      <c r="S248" t="s">
        <v>1542</v>
      </c>
      <c r="T248" t="str">
        <f>CONCATENATE(Table1[[#This Row],[Name]]," ",Table1[[#This Row],[Surname/Studio Name/Artistic Name]])</f>
        <v>Ala Ebtekar</v>
      </c>
    </row>
    <row r="249" spans="1:20" x14ac:dyDescent="0.35">
      <c r="A249">
        <v>248</v>
      </c>
      <c r="B249" t="s">
        <v>485</v>
      </c>
      <c r="C249" t="s">
        <v>486</v>
      </c>
      <c r="D249" t="s">
        <v>1892</v>
      </c>
      <c r="E249" t="s">
        <v>1916</v>
      </c>
      <c r="F249" t="s">
        <v>25</v>
      </c>
      <c r="G249" t="s">
        <v>1916</v>
      </c>
      <c r="H249" t="s">
        <v>21</v>
      </c>
      <c r="I249" t="s">
        <v>22</v>
      </c>
      <c r="J249">
        <v>1966</v>
      </c>
      <c r="K249">
        <f>2026-Table1[[#This Row],[Birthyear]]</f>
        <v>60</v>
      </c>
      <c r="L249" t="s">
        <v>1293</v>
      </c>
      <c r="M249" t="s">
        <v>1293</v>
      </c>
      <c r="N249" t="s">
        <v>1296</v>
      </c>
      <c r="O249" t="s">
        <v>1543</v>
      </c>
      <c r="Q249" t="s">
        <v>1298</v>
      </c>
      <c r="R249" t="s">
        <v>1544</v>
      </c>
      <c r="S249" t="s">
        <v>1353</v>
      </c>
      <c r="T249" t="str">
        <f>CONCATENATE(Table1[[#This Row],[Name]]," ",Table1[[#This Row],[Surname/Studio Name/Artistic Name]])</f>
        <v>Janet Echelman</v>
      </c>
    </row>
    <row r="250" spans="1:20" x14ac:dyDescent="0.35">
      <c r="A250">
        <v>249</v>
      </c>
      <c r="B250" t="s">
        <v>487</v>
      </c>
      <c r="C250" t="s">
        <v>488</v>
      </c>
      <c r="D250" t="s">
        <v>1892</v>
      </c>
      <c r="E250" t="s">
        <v>1916</v>
      </c>
      <c r="F250" t="s">
        <v>20</v>
      </c>
      <c r="G250" t="s">
        <v>1916</v>
      </c>
      <c r="H250" t="s">
        <v>26</v>
      </c>
      <c r="J250">
        <v>1969</v>
      </c>
      <c r="K250">
        <f>2026-Table1[[#This Row],[Birthyear]]</f>
        <v>57</v>
      </c>
      <c r="L250" t="s">
        <v>1900</v>
      </c>
      <c r="M250" t="s">
        <v>1300</v>
      </c>
      <c r="N250" t="s">
        <v>1296</v>
      </c>
      <c r="O250" t="s">
        <v>1545</v>
      </c>
      <c r="P250" t="s">
        <v>1546</v>
      </c>
      <c r="Q250" t="s">
        <v>1547</v>
      </c>
      <c r="R250" t="s">
        <v>1312</v>
      </c>
      <c r="S250" t="s">
        <v>1399</v>
      </c>
      <c r="T250" t="str">
        <f>CONCATENATE(Table1[[#This Row],[Name]]," ",Table1[[#This Row],[Surname/Studio Name/Artistic Name]])</f>
        <v>John Edmark</v>
      </c>
    </row>
    <row r="251" spans="1:20" x14ac:dyDescent="0.35">
      <c r="A251">
        <v>250</v>
      </c>
      <c r="B251" t="s">
        <v>489</v>
      </c>
      <c r="C251" t="s">
        <v>490</v>
      </c>
      <c r="D251" t="s">
        <v>1892</v>
      </c>
      <c r="E251" t="s">
        <v>1916</v>
      </c>
      <c r="F251" t="s">
        <v>20</v>
      </c>
      <c r="G251" t="s">
        <v>1916</v>
      </c>
      <c r="H251" t="s">
        <v>26</v>
      </c>
      <c r="J251">
        <v>1988</v>
      </c>
      <c r="K251">
        <f>2026-Table1[[#This Row],[Birthyear]]</f>
        <v>38</v>
      </c>
      <c r="L251" t="s">
        <v>1914</v>
      </c>
      <c r="M251" t="s">
        <v>1345</v>
      </c>
      <c r="N251" t="s">
        <v>1296</v>
      </c>
      <c r="O251" t="s">
        <v>1548</v>
      </c>
      <c r="P251">
        <v>2021</v>
      </c>
      <c r="Q251" t="s">
        <v>1344</v>
      </c>
      <c r="R251" t="s">
        <v>1299</v>
      </c>
      <c r="T251" t="str">
        <f>CONCATENATE(Table1[[#This Row],[Name]]," ",Table1[[#This Row],[Surname/Studio Name/Artistic Name]])</f>
        <v>Aleksandar Eftimovski</v>
      </c>
    </row>
    <row r="252" spans="1:20" x14ac:dyDescent="0.35">
      <c r="A252">
        <v>251</v>
      </c>
      <c r="B252" t="s">
        <v>491</v>
      </c>
      <c r="C252" t="s">
        <v>492</v>
      </c>
      <c r="D252" t="s">
        <v>1892</v>
      </c>
      <c r="E252" t="s">
        <v>1916</v>
      </c>
      <c r="F252" t="s">
        <v>25</v>
      </c>
      <c r="G252" t="s">
        <v>1916</v>
      </c>
      <c r="H252" t="s">
        <v>21</v>
      </c>
      <c r="J252">
        <v>1965</v>
      </c>
      <c r="K252">
        <f>2026-Table1[[#This Row],[Birthyear]]</f>
        <v>61</v>
      </c>
      <c r="L252" t="s">
        <v>1293</v>
      </c>
      <c r="M252" t="s">
        <v>1293</v>
      </c>
      <c r="N252" t="s">
        <v>1309</v>
      </c>
      <c r="T252" t="str">
        <f>CONCATENATE(Table1[[#This Row],[Name]]," ",Table1[[#This Row],[Surname/Studio Name/Artistic Name]])</f>
        <v>Nicole Eisenman</v>
      </c>
    </row>
    <row r="253" spans="1:20" x14ac:dyDescent="0.35">
      <c r="A253">
        <v>252</v>
      </c>
      <c r="B253" t="s">
        <v>493</v>
      </c>
      <c r="D253" t="s">
        <v>1892</v>
      </c>
      <c r="E253" t="s">
        <v>1916</v>
      </c>
      <c r="F253" t="s">
        <v>25</v>
      </c>
      <c r="G253" t="s">
        <v>1916</v>
      </c>
      <c r="H253" t="s">
        <v>26</v>
      </c>
      <c r="I253" t="s">
        <v>22</v>
      </c>
      <c r="J253">
        <v>1944</v>
      </c>
      <c r="K253">
        <f>2026-Table1[[#This Row],[Birthyear]]</f>
        <v>82</v>
      </c>
      <c r="L253" t="s">
        <v>1293</v>
      </c>
      <c r="M253" t="s">
        <v>1293</v>
      </c>
      <c r="N253" t="s">
        <v>1291</v>
      </c>
      <c r="T253" t="str">
        <f>CONCATENATE(Table1[[#This Row],[Name]]," ",Table1[[#This Row],[Surname/Studio Name/Artistic Name]])</f>
        <v xml:space="preserve"> El Anatsui</v>
      </c>
    </row>
    <row r="254" spans="1:20" x14ac:dyDescent="0.35">
      <c r="A254">
        <v>253</v>
      </c>
      <c r="B254" t="s">
        <v>494</v>
      </c>
      <c r="C254" t="s">
        <v>495</v>
      </c>
      <c r="D254" t="s">
        <v>1892</v>
      </c>
      <c r="E254" t="s">
        <v>1916</v>
      </c>
      <c r="F254" t="s">
        <v>20</v>
      </c>
      <c r="G254" t="s">
        <v>1916</v>
      </c>
      <c r="H254" t="s">
        <v>26</v>
      </c>
      <c r="J254">
        <v>1988</v>
      </c>
      <c r="K254">
        <f>2026-Table1[[#This Row],[Birthyear]]</f>
        <v>38</v>
      </c>
      <c r="L254" t="s">
        <v>1315</v>
      </c>
      <c r="M254" t="s">
        <v>1315</v>
      </c>
      <c r="N254" t="s">
        <v>1327</v>
      </c>
      <c r="S254" t="s">
        <v>1518</v>
      </c>
      <c r="T254" t="str">
        <f>CONCATENATE(Table1[[#This Row],[Name]]," ",Table1[[#This Row],[Surname/Studio Name/Artistic Name]])</f>
        <v>Faissal El Malak</v>
      </c>
    </row>
    <row r="255" spans="1:20" x14ac:dyDescent="0.35">
      <c r="A255">
        <v>254</v>
      </c>
      <c r="B255" t="s">
        <v>496</v>
      </c>
      <c r="C255" t="s">
        <v>497</v>
      </c>
      <c r="D255" t="s">
        <v>1892</v>
      </c>
      <c r="E255" t="s">
        <v>1916</v>
      </c>
      <c r="F255" t="s">
        <v>20</v>
      </c>
      <c r="G255" t="s">
        <v>1916</v>
      </c>
      <c r="H255" t="s">
        <v>26</v>
      </c>
      <c r="J255">
        <v>1956</v>
      </c>
      <c r="K255">
        <f>2026-Table1[[#This Row],[Birthyear]]</f>
        <v>70</v>
      </c>
      <c r="L255" t="s">
        <v>1914</v>
      </c>
      <c r="M255" t="s">
        <v>1326</v>
      </c>
      <c r="N255" t="s">
        <v>1327</v>
      </c>
      <c r="T255" t="str">
        <f>CONCATENATE(Table1[[#This Row],[Name]]," ",Table1[[#This Row],[Surname/Studio Name/Artistic Name]])</f>
        <v>Mansour El Mansy</v>
      </c>
    </row>
    <row r="256" spans="1:20" x14ac:dyDescent="0.35">
      <c r="A256">
        <v>255</v>
      </c>
      <c r="B256" t="s">
        <v>498</v>
      </c>
      <c r="C256" t="s">
        <v>499</v>
      </c>
      <c r="D256" t="s">
        <v>1892</v>
      </c>
      <c r="E256" t="s">
        <v>1916</v>
      </c>
      <c r="F256" t="s">
        <v>20</v>
      </c>
      <c r="G256" t="s">
        <v>1916</v>
      </c>
      <c r="H256" t="s">
        <v>26</v>
      </c>
      <c r="I256" t="s">
        <v>22</v>
      </c>
      <c r="J256">
        <v>1930</v>
      </c>
      <c r="K256">
        <f>2026-Table1[[#This Row],[Birthyear]]</f>
        <v>96</v>
      </c>
      <c r="L256" t="s">
        <v>1290</v>
      </c>
      <c r="M256" t="s">
        <v>1290</v>
      </c>
      <c r="N256" t="s">
        <v>1291</v>
      </c>
      <c r="S256" t="s">
        <v>1549</v>
      </c>
      <c r="T256" t="str">
        <f>CONCATENATE(Table1[[#This Row],[Name]]," ",Table1[[#This Row],[Surname/Studio Name/Artistic Name]])</f>
        <v>Ibrahim El Salahi</v>
      </c>
    </row>
    <row r="257" spans="1:20" x14ac:dyDescent="0.35">
      <c r="A257">
        <v>256</v>
      </c>
      <c r="B257" t="s">
        <v>500</v>
      </c>
      <c r="C257" t="s">
        <v>169</v>
      </c>
      <c r="D257" t="s">
        <v>1892</v>
      </c>
      <c r="E257" t="s">
        <v>1916</v>
      </c>
      <c r="F257" t="s">
        <v>20</v>
      </c>
      <c r="G257" t="s">
        <v>1916</v>
      </c>
      <c r="H257" t="s">
        <v>21</v>
      </c>
      <c r="J257">
        <v>1983</v>
      </c>
      <c r="K257">
        <f>2026-Table1[[#This Row],[Birthyear]]</f>
        <v>43</v>
      </c>
      <c r="L257" t="s">
        <v>1290</v>
      </c>
      <c r="M257" t="s">
        <v>1290</v>
      </c>
      <c r="N257" t="s">
        <v>1291</v>
      </c>
      <c r="S257" t="s">
        <v>1549</v>
      </c>
      <c r="T257" t="str">
        <f>CONCATENATE(Table1[[#This Row],[Name]]," ",Table1[[#This Row],[Surname/Studio Name/Artistic Name]])</f>
        <v>Najla El Zein</v>
      </c>
    </row>
    <row r="258" spans="1:20" x14ac:dyDescent="0.35">
      <c r="A258">
        <v>257</v>
      </c>
      <c r="B258" t="s">
        <v>501</v>
      </c>
      <c r="C258" t="s">
        <v>502</v>
      </c>
      <c r="D258" t="s">
        <v>1892</v>
      </c>
      <c r="E258" t="s">
        <v>1916</v>
      </c>
      <c r="F258" t="s">
        <v>20</v>
      </c>
      <c r="G258" t="s">
        <v>1916</v>
      </c>
      <c r="H258" t="s">
        <v>21</v>
      </c>
      <c r="I258" t="s">
        <v>22</v>
      </c>
      <c r="J258">
        <v>1981</v>
      </c>
      <c r="K258">
        <f>2026-Table1[[#This Row],[Birthyear]]</f>
        <v>45</v>
      </c>
      <c r="L258" t="s">
        <v>1290</v>
      </c>
      <c r="M258" t="s">
        <v>1290</v>
      </c>
      <c r="N258" t="s">
        <v>1291</v>
      </c>
      <c r="S258" t="s">
        <v>1464</v>
      </c>
      <c r="T258" t="str">
        <f>CONCATENATE(Table1[[#This Row],[Name]]," ",Table1[[#This Row],[Surname/Studio Name/Artistic Name]])</f>
        <v>Eiman Elgibreen</v>
      </c>
    </row>
    <row r="259" spans="1:20" x14ac:dyDescent="0.35">
      <c r="A259">
        <v>258</v>
      </c>
      <c r="B259" t="s">
        <v>503</v>
      </c>
      <c r="C259" t="s">
        <v>73</v>
      </c>
      <c r="D259" t="s">
        <v>1892</v>
      </c>
      <c r="E259" t="s">
        <v>1916</v>
      </c>
      <c r="F259" t="s">
        <v>20</v>
      </c>
      <c r="G259" t="s">
        <v>1916</v>
      </c>
      <c r="H259" t="s">
        <v>21</v>
      </c>
      <c r="J259">
        <v>1974</v>
      </c>
      <c r="K259">
        <f>2026-Table1[[#This Row],[Birthyear]]</f>
        <v>52</v>
      </c>
      <c r="L259" t="s">
        <v>1290</v>
      </c>
      <c r="M259" t="s">
        <v>1290</v>
      </c>
      <c r="N259" t="s">
        <v>1291</v>
      </c>
      <c r="S259" t="s">
        <v>1468</v>
      </c>
      <c r="T259" t="str">
        <f>CONCATENATE(Table1[[#This Row],[Name]]," ",Table1[[#This Row],[Surname/Studio Name/Artistic Name]])</f>
        <v>Rana Elnemr</v>
      </c>
    </row>
    <row r="260" spans="1:20" x14ac:dyDescent="0.35">
      <c r="A260">
        <v>259</v>
      </c>
      <c r="B260" t="s">
        <v>504</v>
      </c>
      <c r="C260" t="s">
        <v>505</v>
      </c>
      <c r="D260" t="s">
        <v>1892</v>
      </c>
      <c r="E260" t="s">
        <v>1916</v>
      </c>
      <c r="F260" t="s">
        <v>20</v>
      </c>
      <c r="G260" t="s">
        <v>1916</v>
      </c>
      <c r="H260" t="s">
        <v>26</v>
      </c>
      <c r="J260">
        <v>1974</v>
      </c>
      <c r="K260">
        <f>2026-Table1[[#This Row],[Birthyear]]</f>
        <v>52</v>
      </c>
      <c r="L260" t="s">
        <v>1914</v>
      </c>
      <c r="M260" t="s">
        <v>1326</v>
      </c>
      <c r="N260" t="s">
        <v>1296</v>
      </c>
      <c r="O260" t="s">
        <v>1550</v>
      </c>
      <c r="P260">
        <v>2023</v>
      </c>
      <c r="Q260" t="s">
        <v>1344</v>
      </c>
      <c r="R260" t="s">
        <v>1299</v>
      </c>
      <c r="T260" t="str">
        <f>CONCATENATE(Table1[[#This Row],[Name]]," ",Table1[[#This Row],[Surname/Studio Name/Artistic Name]])</f>
        <v>Mohamed Elsayad</v>
      </c>
    </row>
    <row r="261" spans="1:20" x14ac:dyDescent="0.35">
      <c r="A261">
        <v>260</v>
      </c>
      <c r="B261" t="s">
        <v>506</v>
      </c>
      <c r="C261" t="s">
        <v>507</v>
      </c>
      <c r="D261" t="s">
        <v>1892</v>
      </c>
      <c r="E261" t="s">
        <v>1916</v>
      </c>
      <c r="F261" t="s">
        <v>20</v>
      </c>
      <c r="G261" t="s">
        <v>1916</v>
      </c>
      <c r="H261" t="s">
        <v>26</v>
      </c>
      <c r="I261" t="s">
        <v>22</v>
      </c>
      <c r="J261">
        <v>1993</v>
      </c>
      <c r="K261">
        <f>2026-Table1[[#This Row],[Birthyear]]</f>
        <v>33</v>
      </c>
      <c r="L261" t="s">
        <v>1290</v>
      </c>
      <c r="M261" t="s">
        <v>1290</v>
      </c>
      <c r="N261" t="s">
        <v>1291</v>
      </c>
      <c r="S261" t="s">
        <v>1551</v>
      </c>
      <c r="T261" t="str">
        <f>CONCATENATE(Table1[[#This Row],[Name]]," ",Table1[[#This Row],[Surname/Studio Name/Artistic Name]])</f>
        <v>Abdelrahman Elshahed</v>
      </c>
    </row>
    <row r="262" spans="1:20" x14ac:dyDescent="0.35">
      <c r="A262">
        <v>261</v>
      </c>
      <c r="B262" t="s">
        <v>508</v>
      </c>
      <c r="C262" t="s">
        <v>509</v>
      </c>
      <c r="D262" t="s">
        <v>1892</v>
      </c>
      <c r="E262" t="s">
        <v>1916</v>
      </c>
      <c r="F262" t="s">
        <v>20</v>
      </c>
      <c r="G262" t="s">
        <v>1916</v>
      </c>
      <c r="H262" t="s">
        <v>26</v>
      </c>
      <c r="J262">
        <v>1986</v>
      </c>
      <c r="K262">
        <f>2026-Table1[[#This Row],[Birthyear]]</f>
        <v>40</v>
      </c>
      <c r="L262" t="s">
        <v>1315</v>
      </c>
      <c r="M262" t="s">
        <v>1315</v>
      </c>
      <c r="N262" t="s">
        <v>1327</v>
      </c>
      <c r="S262" t="s">
        <v>1331</v>
      </c>
      <c r="T262" t="str">
        <f>CONCATENATE(Table1[[#This Row],[Name]]," ",Table1[[#This Row],[Surname/Studio Name/Artistic Name]])</f>
        <v>Gregory Emvy</v>
      </c>
    </row>
    <row r="263" spans="1:20" x14ac:dyDescent="0.35">
      <c r="A263">
        <v>262</v>
      </c>
      <c r="B263" t="s">
        <v>510</v>
      </c>
      <c r="C263" t="s">
        <v>511</v>
      </c>
      <c r="D263" t="s">
        <v>1892</v>
      </c>
      <c r="E263" t="s">
        <v>1916</v>
      </c>
      <c r="F263" t="s">
        <v>20</v>
      </c>
      <c r="G263" t="s">
        <v>1916</v>
      </c>
      <c r="H263" t="s">
        <v>26</v>
      </c>
      <c r="I263" t="s">
        <v>22</v>
      </c>
      <c r="J263">
        <v>1973</v>
      </c>
      <c r="K263">
        <f>2026-Table1[[#This Row],[Birthyear]]</f>
        <v>53</v>
      </c>
      <c r="L263" t="s">
        <v>1290</v>
      </c>
      <c r="M263" t="s">
        <v>1290</v>
      </c>
      <c r="N263" t="s">
        <v>1291</v>
      </c>
      <c r="S263" t="s">
        <v>1321</v>
      </c>
      <c r="T263" t="str">
        <f>CONCATENATE(Table1[[#This Row],[Name]]," ",Table1[[#This Row],[Surname/Studio Name/Artistic Name]])</f>
        <v>Leandro Erlich</v>
      </c>
    </row>
    <row r="264" spans="1:20" x14ac:dyDescent="0.35">
      <c r="A264">
        <v>263</v>
      </c>
      <c r="B264" t="s">
        <v>512</v>
      </c>
      <c r="C264" t="s">
        <v>513</v>
      </c>
      <c r="D264" t="s">
        <v>1892</v>
      </c>
      <c r="E264" t="s">
        <v>1916</v>
      </c>
      <c r="F264" t="s">
        <v>20</v>
      </c>
      <c r="G264" t="s">
        <v>1916</v>
      </c>
      <c r="H264" t="s">
        <v>26</v>
      </c>
      <c r="I264" t="s">
        <v>22</v>
      </c>
      <c r="J264">
        <v>1985</v>
      </c>
      <c r="K264">
        <f>2026-Table1[[#This Row],[Birthyear]]</f>
        <v>41</v>
      </c>
      <c r="L264" t="s">
        <v>1315</v>
      </c>
      <c r="M264" t="s">
        <v>1315</v>
      </c>
      <c r="N264" t="s">
        <v>1296</v>
      </c>
      <c r="O264" t="s">
        <v>1552</v>
      </c>
      <c r="Q264" t="s">
        <v>1376</v>
      </c>
      <c r="S264" t="s">
        <v>1331</v>
      </c>
      <c r="T264" t="str">
        <f>CONCATENATE(Table1[[#This Row],[Name]]," ",Table1[[#This Row],[Surname/Studio Name/Artistic Name]])</f>
        <v>Roman Ermakov</v>
      </c>
    </row>
    <row r="265" spans="1:20" x14ac:dyDescent="0.35">
      <c r="A265">
        <v>264</v>
      </c>
      <c r="B265" t="s">
        <v>514</v>
      </c>
      <c r="C265" t="s">
        <v>331</v>
      </c>
      <c r="D265" t="s">
        <v>1892</v>
      </c>
      <c r="E265" t="s">
        <v>1916</v>
      </c>
      <c r="F265" t="s">
        <v>20</v>
      </c>
      <c r="G265" t="s">
        <v>1916</v>
      </c>
      <c r="H265" t="s">
        <v>26</v>
      </c>
      <c r="J265">
        <v>1978</v>
      </c>
      <c r="K265">
        <f>2026-Table1[[#This Row],[Birthyear]]</f>
        <v>48</v>
      </c>
      <c r="L265" t="s">
        <v>1914</v>
      </c>
      <c r="M265" t="s">
        <v>1326</v>
      </c>
      <c r="N265" t="s">
        <v>1296</v>
      </c>
      <c r="O265" t="s">
        <v>1553</v>
      </c>
      <c r="P265">
        <v>2023</v>
      </c>
      <c r="Q265" t="s">
        <v>1519</v>
      </c>
      <c r="R265" t="s">
        <v>1299</v>
      </c>
      <c r="T265" t="str">
        <f>CONCATENATE(Table1[[#This Row],[Name]]," ",Table1[[#This Row],[Surname/Studio Name/Artistic Name]])</f>
        <v>Stefan Esterbauer</v>
      </c>
    </row>
    <row r="266" spans="1:20" x14ac:dyDescent="0.35">
      <c r="A266">
        <v>265</v>
      </c>
      <c r="B266" t="s">
        <v>516</v>
      </c>
      <c r="C266" t="s">
        <v>517</v>
      </c>
      <c r="D266" t="s">
        <v>1892</v>
      </c>
      <c r="E266" t="s">
        <v>1916</v>
      </c>
      <c r="F266" t="s">
        <v>20</v>
      </c>
      <c r="G266" t="s">
        <v>1916</v>
      </c>
      <c r="H266" t="s">
        <v>26</v>
      </c>
      <c r="J266">
        <v>1969</v>
      </c>
      <c r="K266">
        <f>2026-Table1[[#This Row],[Birthyear]]</f>
        <v>57</v>
      </c>
      <c r="L266" t="s">
        <v>1914</v>
      </c>
      <c r="M266" t="s">
        <v>1361</v>
      </c>
      <c r="N266" t="s">
        <v>1296</v>
      </c>
      <c r="O266" t="s">
        <v>1554</v>
      </c>
      <c r="P266">
        <v>2024</v>
      </c>
      <c r="Q266" t="s">
        <v>1344</v>
      </c>
      <c r="R266" t="s">
        <v>1555</v>
      </c>
      <c r="T266" t="str">
        <f>CONCATENATE(Table1[[#This Row],[Name]]," ",Table1[[#This Row],[Surname/Studio Name/Artistic Name]])</f>
        <v>Milton Estrella</v>
      </c>
    </row>
    <row r="267" spans="1:20" x14ac:dyDescent="0.35">
      <c r="A267">
        <v>266</v>
      </c>
      <c r="B267" t="s">
        <v>518</v>
      </c>
      <c r="C267" t="s">
        <v>519</v>
      </c>
      <c r="D267" t="s">
        <v>1892</v>
      </c>
      <c r="E267" t="s">
        <v>1916</v>
      </c>
      <c r="F267" t="s">
        <v>25</v>
      </c>
      <c r="G267" t="s">
        <v>1916</v>
      </c>
      <c r="H267" t="s">
        <v>26</v>
      </c>
      <c r="J267">
        <v>1965</v>
      </c>
      <c r="K267">
        <f>2026-Table1[[#This Row],[Birthyear]]</f>
        <v>61</v>
      </c>
      <c r="L267" t="s">
        <v>1293</v>
      </c>
      <c r="M267" t="s">
        <v>1293</v>
      </c>
      <c r="N267" t="s">
        <v>1294</v>
      </c>
      <c r="T267" t="str">
        <f>CONCATENATE(Table1[[#This Row],[Name]]," ",Table1[[#This Row],[Surname/Studio Name/Artistic Name]])</f>
        <v>Park Eun Sun</v>
      </c>
    </row>
    <row r="268" spans="1:20" x14ac:dyDescent="0.35">
      <c r="A268">
        <v>267</v>
      </c>
      <c r="B268" t="s">
        <v>520</v>
      </c>
      <c r="C268" t="s">
        <v>521</v>
      </c>
      <c r="D268" t="s">
        <v>1892</v>
      </c>
      <c r="E268" t="s">
        <v>1916</v>
      </c>
      <c r="F268" t="s">
        <v>25</v>
      </c>
      <c r="G268" t="s">
        <v>1916</v>
      </c>
      <c r="H268" t="s">
        <v>21</v>
      </c>
      <c r="I268" t="s">
        <v>22</v>
      </c>
      <c r="J268">
        <v>1967</v>
      </c>
      <c r="K268">
        <f>2026-Table1[[#This Row],[Birthyear]]</f>
        <v>59</v>
      </c>
      <c r="L268" t="s">
        <v>1293</v>
      </c>
      <c r="M268" t="s">
        <v>1293</v>
      </c>
      <c r="N268" t="s">
        <v>1294</v>
      </c>
      <c r="T268" t="str">
        <f>CONCATENATE(Table1[[#This Row],[Name]]," ",Table1[[#This Row],[Surname/Studio Name/Artistic Name]])</f>
        <v>Effat Fadag</v>
      </c>
    </row>
    <row r="269" spans="1:20" x14ac:dyDescent="0.35">
      <c r="A269">
        <v>268</v>
      </c>
      <c r="B269" t="s">
        <v>522</v>
      </c>
      <c r="C269" t="s">
        <v>523</v>
      </c>
      <c r="D269" t="s">
        <v>1892</v>
      </c>
      <c r="E269" t="s">
        <v>1916</v>
      </c>
      <c r="F269" t="s">
        <v>20</v>
      </c>
      <c r="G269" t="s">
        <v>1916</v>
      </c>
      <c r="H269" t="s">
        <v>21</v>
      </c>
      <c r="J269">
        <v>1995</v>
      </c>
      <c r="K269">
        <f>2026-Table1[[#This Row],[Birthyear]]</f>
        <v>31</v>
      </c>
      <c r="L269" t="s">
        <v>1900</v>
      </c>
      <c r="M269" t="s">
        <v>1300</v>
      </c>
      <c r="N269" t="s">
        <v>1296</v>
      </c>
      <c r="O269" t="s">
        <v>1556</v>
      </c>
      <c r="P269">
        <v>2022</v>
      </c>
      <c r="Q269" t="s">
        <v>1350</v>
      </c>
      <c r="R269" t="s">
        <v>1312</v>
      </c>
      <c r="S269" t="s">
        <v>1399</v>
      </c>
      <c r="T269" t="str">
        <f>CONCATENATE(Table1[[#This Row],[Name]]," ",Table1[[#This Row],[Surname/Studio Name/Artistic Name]])</f>
        <v>Walaa Fadul</v>
      </c>
    </row>
    <row r="270" spans="1:20" x14ac:dyDescent="0.35">
      <c r="A270">
        <v>269</v>
      </c>
      <c r="B270" t="s">
        <v>524</v>
      </c>
      <c r="C270" t="s">
        <v>100</v>
      </c>
      <c r="D270" t="s">
        <v>1892</v>
      </c>
      <c r="E270" t="s">
        <v>1916</v>
      </c>
      <c r="F270" t="s">
        <v>20</v>
      </c>
      <c r="G270" t="s">
        <v>1916</v>
      </c>
      <c r="H270" t="s">
        <v>26</v>
      </c>
      <c r="J270">
        <v>1968</v>
      </c>
      <c r="K270">
        <f>2026-Table1[[#This Row],[Birthyear]]</f>
        <v>58</v>
      </c>
      <c r="L270" t="s">
        <v>1900</v>
      </c>
      <c r="M270" t="s">
        <v>1295</v>
      </c>
      <c r="N270" t="s">
        <v>1296</v>
      </c>
      <c r="O270" t="s">
        <v>1557</v>
      </c>
      <c r="P270">
        <v>2025</v>
      </c>
      <c r="Q270" t="s">
        <v>1510</v>
      </c>
      <c r="R270" t="s">
        <v>1299</v>
      </c>
      <c r="T270" t="str">
        <f>CONCATENATE(Table1[[#This Row],[Name]]," ",Table1[[#This Row],[Surname/Studio Name/Artistic Name]])</f>
        <v xml:space="preserve">Mohammed Farea </v>
      </c>
    </row>
    <row r="271" spans="1:20" x14ac:dyDescent="0.35">
      <c r="A271">
        <v>270</v>
      </c>
      <c r="B271" t="s">
        <v>525</v>
      </c>
      <c r="C271" t="s">
        <v>106</v>
      </c>
      <c r="D271" t="s">
        <v>1892</v>
      </c>
      <c r="E271" t="s">
        <v>1916</v>
      </c>
      <c r="F271" t="s">
        <v>20</v>
      </c>
      <c r="G271" t="s">
        <v>1916</v>
      </c>
      <c r="H271" t="s">
        <v>26</v>
      </c>
      <c r="J271">
        <v>1977</v>
      </c>
      <c r="K271">
        <f>2026-Table1[[#This Row],[Birthyear]]</f>
        <v>49</v>
      </c>
      <c r="L271" t="s">
        <v>1914</v>
      </c>
      <c r="M271" t="s">
        <v>1342</v>
      </c>
      <c r="N271" t="s">
        <v>1296</v>
      </c>
      <c r="O271" t="s">
        <v>1558</v>
      </c>
      <c r="P271">
        <v>2025</v>
      </c>
      <c r="Q271" t="s">
        <v>1344</v>
      </c>
      <c r="T271" t="str">
        <f>CONCATENATE(Table1[[#This Row],[Name]]," ",Table1[[#This Row],[Surname/Studio Name/Artistic Name]])</f>
        <v>Khalid Farhan</v>
      </c>
    </row>
    <row r="272" spans="1:20" x14ac:dyDescent="0.35">
      <c r="A272">
        <v>271</v>
      </c>
      <c r="B272" t="s">
        <v>526</v>
      </c>
      <c r="C272" t="s">
        <v>527</v>
      </c>
      <c r="D272" t="s">
        <v>1892</v>
      </c>
      <c r="E272" t="s">
        <v>1916</v>
      </c>
      <c r="F272" t="s">
        <v>20</v>
      </c>
      <c r="G272" t="s">
        <v>1916</v>
      </c>
      <c r="H272" t="s">
        <v>26</v>
      </c>
      <c r="J272">
        <v>1964</v>
      </c>
      <c r="K272">
        <f>2026-Table1[[#This Row],[Birthyear]]</f>
        <v>62</v>
      </c>
      <c r="L272" t="s">
        <v>1914</v>
      </c>
      <c r="M272" t="s">
        <v>1396</v>
      </c>
      <c r="N272" t="s">
        <v>1296</v>
      </c>
      <c r="O272" t="s">
        <v>1559</v>
      </c>
      <c r="P272">
        <v>2020</v>
      </c>
      <c r="Q272" t="s">
        <v>1344</v>
      </c>
      <c r="R272" t="s">
        <v>1299</v>
      </c>
      <c r="T272" t="str">
        <f>CONCATENATE(Table1[[#This Row],[Name]]," ",Table1[[#This Row],[Surname/Studio Name/Artistic Name]])</f>
        <v>Nagi Farid Tadrous</v>
      </c>
    </row>
    <row r="273" spans="1:20" x14ac:dyDescent="0.35">
      <c r="A273">
        <v>272</v>
      </c>
      <c r="B273" t="s">
        <v>528</v>
      </c>
      <c r="C273" t="s">
        <v>446</v>
      </c>
      <c r="D273" t="s">
        <v>1892</v>
      </c>
      <c r="E273" t="s">
        <v>1916</v>
      </c>
      <c r="F273" t="s">
        <v>20</v>
      </c>
      <c r="G273" t="s">
        <v>1916</v>
      </c>
      <c r="H273" t="s">
        <v>26</v>
      </c>
      <c r="J273">
        <v>1988</v>
      </c>
      <c r="K273">
        <f>2026-Table1[[#This Row],[Birthyear]]</f>
        <v>38</v>
      </c>
      <c r="L273" t="s">
        <v>1900</v>
      </c>
      <c r="M273" t="s">
        <v>1317</v>
      </c>
      <c r="N273" t="s">
        <v>1296</v>
      </c>
      <c r="O273" t="s">
        <v>1560</v>
      </c>
      <c r="P273">
        <v>2022</v>
      </c>
      <c r="Q273" t="s">
        <v>1561</v>
      </c>
      <c r="R273" t="s">
        <v>1312</v>
      </c>
      <c r="S273" t="s">
        <v>1320</v>
      </c>
      <c r="T273" t="str">
        <f>CONCATENATE(Table1[[#This Row],[Name]]," ",Table1[[#This Row],[Surname/Studio Name/Artistic Name]])</f>
        <v>Kim Farkas​</v>
      </c>
    </row>
    <row r="274" spans="1:20" x14ac:dyDescent="0.35">
      <c r="A274">
        <v>273</v>
      </c>
      <c r="B274" t="s">
        <v>529</v>
      </c>
      <c r="C274" t="s">
        <v>530</v>
      </c>
      <c r="D274" t="s">
        <v>1892</v>
      </c>
      <c r="E274" t="s">
        <v>1916</v>
      </c>
      <c r="F274" t="s">
        <v>20</v>
      </c>
      <c r="G274" t="s">
        <v>1916</v>
      </c>
      <c r="H274" t="s">
        <v>26</v>
      </c>
      <c r="J274">
        <v>1987</v>
      </c>
      <c r="K274">
        <f>2026-Table1[[#This Row],[Birthyear]]</f>
        <v>39</v>
      </c>
      <c r="L274" t="s">
        <v>1900</v>
      </c>
      <c r="M274" t="s">
        <v>1317</v>
      </c>
      <c r="N274" t="s">
        <v>1296</v>
      </c>
      <c r="O274" t="s">
        <v>1562</v>
      </c>
      <c r="P274">
        <v>2023</v>
      </c>
      <c r="Q274" t="s">
        <v>1319</v>
      </c>
      <c r="R274" t="s">
        <v>1392</v>
      </c>
      <c r="S274" t="s">
        <v>1341</v>
      </c>
      <c r="T274" t="str">
        <f>CONCATENATE(Table1[[#This Row],[Name]]," ",Table1[[#This Row],[Surname/Studio Name/Artistic Name]])</f>
        <v>Alexandre Farto (a.k.a. Vhils)</v>
      </c>
    </row>
    <row r="275" spans="1:20" x14ac:dyDescent="0.35">
      <c r="A275">
        <v>274</v>
      </c>
      <c r="B275" t="s">
        <v>531</v>
      </c>
      <c r="C275" t="s">
        <v>532</v>
      </c>
      <c r="D275" t="s">
        <v>1892</v>
      </c>
      <c r="E275" t="s">
        <v>1916</v>
      </c>
      <c r="F275" t="s">
        <v>20</v>
      </c>
      <c r="G275" t="s">
        <v>1916</v>
      </c>
      <c r="H275" t="s">
        <v>21</v>
      </c>
      <c r="I275" t="s">
        <v>22</v>
      </c>
      <c r="J275">
        <v>1977</v>
      </c>
      <c r="K275">
        <f>2026-Table1[[#This Row],[Birthyear]]</f>
        <v>49</v>
      </c>
      <c r="L275" t="s">
        <v>1290</v>
      </c>
      <c r="M275" t="s">
        <v>1290</v>
      </c>
      <c r="N275" t="s">
        <v>1291</v>
      </c>
      <c r="S275" t="s">
        <v>1563</v>
      </c>
      <c r="T275" t="str">
        <f>CONCATENATE(Table1[[#This Row],[Name]]," ",Table1[[#This Row],[Surname/Studio Name/Artistic Name]])</f>
        <v>Marica Fasoli</v>
      </c>
    </row>
    <row r="276" spans="1:20" x14ac:dyDescent="0.35">
      <c r="A276">
        <v>275</v>
      </c>
      <c r="B276" t="s">
        <v>533</v>
      </c>
      <c r="C276" t="s">
        <v>534</v>
      </c>
      <c r="D276" t="s">
        <v>1892</v>
      </c>
      <c r="E276" t="s">
        <v>1916</v>
      </c>
      <c r="F276" t="s">
        <v>20</v>
      </c>
      <c r="G276" t="s">
        <v>1916</v>
      </c>
      <c r="H276" t="s">
        <v>21</v>
      </c>
      <c r="J276">
        <v>1978</v>
      </c>
      <c r="K276">
        <f>2026-Table1[[#This Row],[Birthyear]]</f>
        <v>48</v>
      </c>
      <c r="L276" t="s">
        <v>1290</v>
      </c>
      <c r="M276" t="s">
        <v>1290</v>
      </c>
      <c r="N276" t="s">
        <v>1291</v>
      </c>
      <c r="S276" t="s">
        <v>1464</v>
      </c>
      <c r="T276" t="str">
        <f>CONCATENATE(Table1[[#This Row],[Name]]," ",Table1[[#This Row],[Surname/Studio Name/Artistic Name]])</f>
        <v>Cao Fei</v>
      </c>
    </row>
    <row r="277" spans="1:20" x14ac:dyDescent="0.35">
      <c r="A277">
        <v>276</v>
      </c>
      <c r="B277" t="s">
        <v>535</v>
      </c>
      <c r="C277" t="s">
        <v>536</v>
      </c>
      <c r="D277" t="s">
        <v>1892</v>
      </c>
      <c r="E277" t="s">
        <v>1916</v>
      </c>
      <c r="F277" t="s">
        <v>25</v>
      </c>
      <c r="G277" t="s">
        <v>1916</v>
      </c>
      <c r="H277" t="s">
        <v>21</v>
      </c>
      <c r="I277" t="s">
        <v>22</v>
      </c>
      <c r="J277">
        <v>1993</v>
      </c>
      <c r="K277">
        <f>2026-Table1[[#This Row],[Birthyear]]</f>
        <v>33</v>
      </c>
      <c r="L277" t="s">
        <v>1293</v>
      </c>
      <c r="M277" t="s">
        <v>1293</v>
      </c>
      <c r="N277" t="s">
        <v>1309</v>
      </c>
      <c r="T277" t="str">
        <f>CONCATENATE(Table1[[#This Row],[Name]]," ",Table1[[#This Row],[Surname/Studio Name/Artistic Name]])</f>
        <v>Basmah Felemban</v>
      </c>
    </row>
    <row r="278" spans="1:20" x14ac:dyDescent="0.35">
      <c r="A278">
        <v>277</v>
      </c>
      <c r="B278" t="s">
        <v>537</v>
      </c>
      <c r="C278" t="s">
        <v>538</v>
      </c>
      <c r="D278" t="s">
        <v>1892</v>
      </c>
      <c r="E278" t="s">
        <v>1916</v>
      </c>
      <c r="F278" t="s">
        <v>20</v>
      </c>
      <c r="G278" t="s">
        <v>1916</v>
      </c>
      <c r="H278" t="s">
        <v>26</v>
      </c>
      <c r="J278">
        <v>1960</v>
      </c>
      <c r="K278">
        <f>2026-Table1[[#This Row],[Birthyear]]</f>
        <v>66</v>
      </c>
      <c r="L278" t="s">
        <v>1315</v>
      </c>
      <c r="M278" t="s">
        <v>1315</v>
      </c>
      <c r="N278" t="s">
        <v>1327</v>
      </c>
      <c r="S278" t="s">
        <v>1336</v>
      </c>
      <c r="T278" t="str">
        <f>CONCATENATE(Table1[[#This Row],[Name]]," ",Table1[[#This Row],[Surname/Studio Name/Artistic Name]])</f>
        <v>Carlo Ferraris</v>
      </c>
    </row>
    <row r="279" spans="1:20" x14ac:dyDescent="0.35">
      <c r="A279">
        <v>278</v>
      </c>
      <c r="B279" t="s">
        <v>539</v>
      </c>
      <c r="C279" t="s">
        <v>540</v>
      </c>
      <c r="D279" t="s">
        <v>1892</v>
      </c>
      <c r="E279" t="s">
        <v>1916</v>
      </c>
      <c r="F279" t="s">
        <v>25</v>
      </c>
      <c r="G279" t="s">
        <v>1916</v>
      </c>
      <c r="H279" t="s">
        <v>26</v>
      </c>
      <c r="J279">
        <v>1988</v>
      </c>
      <c r="K279">
        <f>2026-Table1[[#This Row],[Birthyear]]</f>
        <v>38</v>
      </c>
      <c r="L279" t="s">
        <v>1293</v>
      </c>
      <c r="M279" t="s">
        <v>1293</v>
      </c>
      <c r="N279" t="s">
        <v>1294</v>
      </c>
      <c r="T279" t="str">
        <f>CONCATENATE(Table1[[#This Row],[Name]]," ",Table1[[#This Row],[Surname/Studio Name/Artistic Name]])</f>
        <v>Emilio Ferro</v>
      </c>
    </row>
    <row r="280" spans="1:20" x14ac:dyDescent="0.35">
      <c r="A280">
        <v>279</v>
      </c>
      <c r="B280" t="s">
        <v>541</v>
      </c>
      <c r="C280" t="s">
        <v>542</v>
      </c>
      <c r="D280" t="s">
        <v>1892</v>
      </c>
      <c r="E280" t="s">
        <v>1916</v>
      </c>
      <c r="F280" t="s">
        <v>20</v>
      </c>
      <c r="G280" t="s">
        <v>1916</v>
      </c>
      <c r="H280" t="s">
        <v>26</v>
      </c>
      <c r="J280">
        <v>1953</v>
      </c>
      <c r="K280">
        <f>2026-Table1[[#This Row],[Birthyear]]</f>
        <v>73</v>
      </c>
      <c r="L280" t="s">
        <v>1914</v>
      </c>
      <c r="M280" t="s">
        <v>1326</v>
      </c>
      <c r="N280" t="s">
        <v>1327</v>
      </c>
      <c r="T280" t="str">
        <f>CONCATENATE(Table1[[#This Row],[Name]]," ",Table1[[#This Row],[Surname/Studio Name/Artistic Name]])</f>
        <v>Rainer Fest</v>
      </c>
    </row>
    <row r="281" spans="1:20" x14ac:dyDescent="0.35">
      <c r="A281">
        <v>280</v>
      </c>
      <c r="B281" t="s">
        <v>543</v>
      </c>
      <c r="C281" t="s">
        <v>232</v>
      </c>
      <c r="D281" t="s">
        <v>1892</v>
      </c>
      <c r="E281" t="s">
        <v>1916</v>
      </c>
      <c r="F281" t="s">
        <v>20</v>
      </c>
      <c r="G281" t="s">
        <v>1916</v>
      </c>
      <c r="H281" t="s">
        <v>26</v>
      </c>
      <c r="J281">
        <v>1960</v>
      </c>
      <c r="K281">
        <f>2026-Table1[[#This Row],[Birthyear]]</f>
        <v>66</v>
      </c>
      <c r="L281" t="s">
        <v>1900</v>
      </c>
      <c r="M281" t="s">
        <v>1310</v>
      </c>
      <c r="N281" t="s">
        <v>1296</v>
      </c>
      <c r="O281" t="s">
        <v>1564</v>
      </c>
      <c r="P281">
        <v>2007</v>
      </c>
      <c r="Q281" t="s">
        <v>1302</v>
      </c>
      <c r="R281" t="s">
        <v>1312</v>
      </c>
      <c r="S281" t="s">
        <v>1325</v>
      </c>
      <c r="T281" t="str">
        <f>CONCATENATE(Table1[[#This Row],[Name]]," ",Table1[[#This Row],[Surname/Studio Name/Artistic Name]])</f>
        <v>Daniel Firman</v>
      </c>
    </row>
    <row r="282" spans="1:20" x14ac:dyDescent="0.35">
      <c r="A282">
        <v>281</v>
      </c>
      <c r="B282" t="s">
        <v>544</v>
      </c>
      <c r="C282" t="s">
        <v>545</v>
      </c>
      <c r="D282" t="s">
        <v>1892</v>
      </c>
      <c r="E282" t="s">
        <v>1916</v>
      </c>
      <c r="F282" t="s">
        <v>20</v>
      </c>
      <c r="G282" t="s">
        <v>1916</v>
      </c>
      <c r="H282" t="s">
        <v>26</v>
      </c>
      <c r="I282" t="s">
        <v>22</v>
      </c>
      <c r="J282">
        <v>1951</v>
      </c>
      <c r="K282">
        <f>2026-Table1[[#This Row],[Birthyear]]</f>
        <v>75</v>
      </c>
      <c r="L282" t="s">
        <v>1290</v>
      </c>
      <c r="M282" t="s">
        <v>1290</v>
      </c>
      <c r="N282" t="s">
        <v>1291</v>
      </c>
      <c r="S282" t="s">
        <v>1565</v>
      </c>
      <c r="T282" t="str">
        <f>CONCATENATE(Table1[[#This Row],[Name]]," ",Table1[[#This Row],[Surname/Studio Name/Artistic Name]])</f>
        <v>Richard Fischer</v>
      </c>
    </row>
    <row r="283" spans="1:20" x14ac:dyDescent="0.35">
      <c r="A283">
        <v>282</v>
      </c>
      <c r="B283" t="s">
        <v>544</v>
      </c>
      <c r="C283" t="s">
        <v>546</v>
      </c>
      <c r="D283" t="s">
        <v>1892</v>
      </c>
      <c r="E283" t="s">
        <v>1916</v>
      </c>
      <c r="F283" t="s">
        <v>20</v>
      </c>
      <c r="G283" t="s">
        <v>1916</v>
      </c>
      <c r="H283" t="s">
        <v>26</v>
      </c>
      <c r="J283">
        <v>1973</v>
      </c>
      <c r="K283">
        <f>2026-Table1[[#This Row],[Birthyear]]</f>
        <v>53</v>
      </c>
      <c r="L283" t="s">
        <v>1900</v>
      </c>
      <c r="M283" t="s">
        <v>1310</v>
      </c>
      <c r="N283" t="s">
        <v>1296</v>
      </c>
      <c r="O283" t="s">
        <v>1566</v>
      </c>
      <c r="P283">
        <v>2019</v>
      </c>
      <c r="Q283" t="s">
        <v>1344</v>
      </c>
      <c r="R283" t="s">
        <v>1312</v>
      </c>
      <c r="S283" t="s">
        <v>1313</v>
      </c>
      <c r="T283" t="str">
        <f>CONCATENATE(Table1[[#This Row],[Name]]," ",Table1[[#This Row],[Surname/Studio Name/Artistic Name]])</f>
        <v>Urs Fischer</v>
      </c>
    </row>
    <row r="284" spans="1:20" x14ac:dyDescent="0.35">
      <c r="A284">
        <v>283</v>
      </c>
      <c r="B284" t="s">
        <v>547</v>
      </c>
      <c r="C284" t="s">
        <v>548</v>
      </c>
      <c r="D284" t="s">
        <v>1892</v>
      </c>
      <c r="E284" t="s">
        <v>1916</v>
      </c>
      <c r="F284" t="s">
        <v>20</v>
      </c>
      <c r="G284" t="s">
        <v>1916</v>
      </c>
      <c r="H284" t="s">
        <v>26</v>
      </c>
      <c r="J284">
        <v>1948</v>
      </c>
      <c r="K284">
        <f>2026-Table1[[#This Row],[Birthyear]]</f>
        <v>78</v>
      </c>
      <c r="L284" t="s">
        <v>1914</v>
      </c>
      <c r="M284" t="s">
        <v>1396</v>
      </c>
      <c r="N284" t="s">
        <v>1296</v>
      </c>
      <c r="P284">
        <v>2020</v>
      </c>
      <c r="Q284" t="s">
        <v>1344</v>
      </c>
      <c r="T284" t="str">
        <f>CONCATENATE(Table1[[#This Row],[Name]]," ",Table1[[#This Row],[Surname/Studio Name/Artistic Name]])</f>
        <v>Nicolae Fleissig</v>
      </c>
    </row>
    <row r="285" spans="1:20" x14ac:dyDescent="0.35">
      <c r="A285">
        <v>284</v>
      </c>
      <c r="B285" t="s">
        <v>549</v>
      </c>
      <c r="C285" t="s">
        <v>382</v>
      </c>
      <c r="D285" t="s">
        <v>1892</v>
      </c>
      <c r="E285" t="s">
        <v>1916</v>
      </c>
      <c r="F285" t="s">
        <v>20</v>
      </c>
      <c r="G285" t="s">
        <v>1916</v>
      </c>
      <c r="H285" t="s">
        <v>26</v>
      </c>
      <c r="J285">
        <v>1977</v>
      </c>
      <c r="K285">
        <f>2026-Table1[[#This Row],[Birthyear]]</f>
        <v>49</v>
      </c>
      <c r="L285" t="s">
        <v>1315</v>
      </c>
      <c r="M285" t="s">
        <v>1315</v>
      </c>
      <c r="N285" t="s">
        <v>1327</v>
      </c>
      <c r="S285" t="s">
        <v>1470</v>
      </c>
      <c r="T285" t="str">
        <f>CONCATENATE(Table1[[#This Row],[Name]]," ",Table1[[#This Row],[Surname/Studio Name/Artistic Name]])</f>
        <v>Chris Fox</v>
      </c>
    </row>
    <row r="286" spans="1:20" x14ac:dyDescent="0.35">
      <c r="A286">
        <v>285</v>
      </c>
      <c r="B286" t="s">
        <v>550</v>
      </c>
      <c r="C286" t="s">
        <v>551</v>
      </c>
      <c r="D286" t="s">
        <v>1892</v>
      </c>
      <c r="E286" t="s">
        <v>1916</v>
      </c>
      <c r="F286" t="s">
        <v>20</v>
      </c>
      <c r="G286" t="s">
        <v>1916</v>
      </c>
      <c r="H286" t="s">
        <v>21</v>
      </c>
      <c r="I286" t="s">
        <v>22</v>
      </c>
      <c r="J286">
        <v>1962</v>
      </c>
      <c r="K286">
        <f>2026-Table1[[#This Row],[Birthyear]]</f>
        <v>64</v>
      </c>
      <c r="L286" t="s">
        <v>1290</v>
      </c>
      <c r="M286" t="s">
        <v>1290</v>
      </c>
      <c r="N286" t="s">
        <v>1291</v>
      </c>
      <c r="S286" t="s">
        <v>1321</v>
      </c>
      <c r="T286" t="str">
        <f>CONCATENATE(Table1[[#This Row],[Name]]," ",Table1[[#This Row],[Surname/Studio Name/Artistic Name]])</f>
        <v>Fernanda Fragatiero</v>
      </c>
    </row>
    <row r="287" spans="1:20" x14ac:dyDescent="0.35">
      <c r="A287">
        <v>286</v>
      </c>
      <c r="B287" t="s">
        <v>552</v>
      </c>
      <c r="C287" t="s">
        <v>553</v>
      </c>
      <c r="D287" t="s">
        <v>1892</v>
      </c>
      <c r="E287" t="s">
        <v>1916</v>
      </c>
      <c r="F287" t="s">
        <v>20</v>
      </c>
      <c r="G287" t="s">
        <v>1916</v>
      </c>
      <c r="H287" t="s">
        <v>21</v>
      </c>
      <c r="I287" t="s">
        <v>22</v>
      </c>
      <c r="J287">
        <v>1967</v>
      </c>
      <c r="K287">
        <f>2026-Table1[[#This Row],[Birthyear]]</f>
        <v>59</v>
      </c>
      <c r="L287" t="s">
        <v>1315</v>
      </c>
      <c r="M287" t="s">
        <v>1315</v>
      </c>
      <c r="N287" t="s">
        <v>1309</v>
      </c>
      <c r="S287" t="s">
        <v>1567</v>
      </c>
      <c r="T287" t="str">
        <f>CONCATENATE(Table1[[#This Row],[Name]]," ",Table1[[#This Row],[Surname/Studio Name/Artistic Name]])</f>
        <v>Alicia Framis</v>
      </c>
    </row>
    <row r="288" spans="1:20" x14ac:dyDescent="0.35">
      <c r="A288">
        <v>287</v>
      </c>
      <c r="B288" t="s">
        <v>554</v>
      </c>
      <c r="C288" t="s">
        <v>555</v>
      </c>
      <c r="D288" t="s">
        <v>1892</v>
      </c>
      <c r="E288" t="s">
        <v>1916</v>
      </c>
      <c r="F288" t="s">
        <v>20</v>
      </c>
      <c r="G288" t="s">
        <v>1916</v>
      </c>
      <c r="H288" t="s">
        <v>26</v>
      </c>
      <c r="J288">
        <v>1979</v>
      </c>
      <c r="K288">
        <f>2026-Table1[[#This Row],[Birthyear]]</f>
        <v>47</v>
      </c>
      <c r="L288" t="s">
        <v>1900</v>
      </c>
      <c r="M288" t="s">
        <v>1322</v>
      </c>
      <c r="N288" t="s">
        <v>1296</v>
      </c>
      <c r="O288" t="s">
        <v>1568</v>
      </c>
      <c r="P288">
        <v>2024</v>
      </c>
      <c r="Q288" t="s">
        <v>1350</v>
      </c>
      <c r="R288" t="s">
        <v>1299</v>
      </c>
      <c r="T288" t="str">
        <f>CONCATENATE(Table1[[#This Row],[Name]]," ",Table1[[#This Row],[Surname/Studio Name/Artistic Name]])</f>
        <v>Felix Frank</v>
      </c>
    </row>
    <row r="289" spans="1:20" x14ac:dyDescent="0.35">
      <c r="A289">
        <v>288</v>
      </c>
      <c r="B289" t="s">
        <v>556</v>
      </c>
      <c r="C289" t="s">
        <v>557</v>
      </c>
      <c r="D289" t="s">
        <v>1892</v>
      </c>
      <c r="E289" t="s">
        <v>1916</v>
      </c>
      <c r="F289" t="s">
        <v>20</v>
      </c>
      <c r="G289" t="s">
        <v>1916</v>
      </c>
      <c r="H289" t="s">
        <v>21</v>
      </c>
      <c r="J289">
        <v>1973</v>
      </c>
      <c r="K289">
        <f>2026-Table1[[#This Row],[Birthyear]]</f>
        <v>53</v>
      </c>
      <c r="L289" t="s">
        <v>1900</v>
      </c>
      <c r="M289" t="s">
        <v>1295</v>
      </c>
      <c r="N289" t="s">
        <v>1296</v>
      </c>
      <c r="O289" t="s">
        <v>1569</v>
      </c>
      <c r="P289">
        <v>2004</v>
      </c>
      <c r="Q289" t="s">
        <v>1298</v>
      </c>
      <c r="R289" t="s">
        <v>1467</v>
      </c>
      <c r="T289" t="str">
        <f>CONCATENATE(Table1[[#This Row],[Name]]," ",Table1[[#This Row],[Surname/Studio Name/Artistic Name]])</f>
        <v>Ivana  Franke</v>
      </c>
    </row>
    <row r="290" spans="1:20" x14ac:dyDescent="0.35">
      <c r="A290">
        <v>289</v>
      </c>
      <c r="B290" t="s">
        <v>558</v>
      </c>
      <c r="C290" t="s">
        <v>559</v>
      </c>
      <c r="D290" t="s">
        <v>1892</v>
      </c>
      <c r="E290" t="s">
        <v>1916</v>
      </c>
      <c r="F290" t="s">
        <v>20</v>
      </c>
      <c r="G290" t="s">
        <v>1916</v>
      </c>
      <c r="H290" t="s">
        <v>21</v>
      </c>
      <c r="I290" t="s">
        <v>22</v>
      </c>
      <c r="J290">
        <v>1984</v>
      </c>
      <c r="K290">
        <f>2026-Table1[[#This Row],[Birthyear]]</f>
        <v>42</v>
      </c>
      <c r="L290" t="s">
        <v>1315</v>
      </c>
      <c r="M290" t="s">
        <v>1315</v>
      </c>
      <c r="N290" t="s">
        <v>1291</v>
      </c>
      <c r="S290" t="s">
        <v>1331</v>
      </c>
      <c r="T290" t="str">
        <f>CONCATENATE(Table1[[#This Row],[Name]]," ",Table1[[#This Row],[Surname/Studio Name/Artistic Name]])</f>
        <v>Sasha Frolova</v>
      </c>
    </row>
    <row r="291" spans="1:20" x14ac:dyDescent="0.35">
      <c r="A291">
        <v>290</v>
      </c>
      <c r="B291" t="s">
        <v>560</v>
      </c>
      <c r="C291" t="s">
        <v>408</v>
      </c>
      <c r="D291" t="s">
        <v>1892</v>
      </c>
      <c r="E291" t="s">
        <v>1916</v>
      </c>
      <c r="F291" t="s">
        <v>20</v>
      </c>
      <c r="G291" t="s">
        <v>1916</v>
      </c>
      <c r="H291" t="s">
        <v>26</v>
      </c>
      <c r="I291" t="s">
        <v>22</v>
      </c>
      <c r="J291">
        <v>1974</v>
      </c>
      <c r="K291">
        <f>2026-Table1[[#This Row],[Birthyear]]</f>
        <v>52</v>
      </c>
      <c r="L291" t="s">
        <v>1315</v>
      </c>
      <c r="M291" t="s">
        <v>1315</v>
      </c>
      <c r="N291" t="s">
        <v>1296</v>
      </c>
      <c r="O291" t="s">
        <v>1570</v>
      </c>
      <c r="Q291" t="s">
        <v>1376</v>
      </c>
      <c r="S291" t="s">
        <v>1377</v>
      </c>
      <c r="T291" t="str">
        <f>CONCATENATE(Table1[[#This Row],[Name]]," ",Table1[[#This Row],[Surname/Studio Name/Artistic Name]])</f>
        <v>Tom Fruin</v>
      </c>
    </row>
    <row r="292" spans="1:20" x14ac:dyDescent="0.35">
      <c r="A292">
        <v>291</v>
      </c>
      <c r="B292" t="s">
        <v>561</v>
      </c>
      <c r="C292" t="s">
        <v>562</v>
      </c>
      <c r="D292" t="s">
        <v>1892</v>
      </c>
      <c r="E292" t="s">
        <v>1916</v>
      </c>
      <c r="F292" t="s">
        <v>20</v>
      </c>
      <c r="G292" t="s">
        <v>1916</v>
      </c>
      <c r="H292" t="s">
        <v>26</v>
      </c>
      <c r="J292">
        <v>1989</v>
      </c>
      <c r="K292">
        <f>2026-Table1[[#This Row],[Birthyear]]</f>
        <v>37</v>
      </c>
      <c r="L292" t="s">
        <v>1900</v>
      </c>
      <c r="M292" t="s">
        <v>1300</v>
      </c>
      <c r="N292" t="s">
        <v>1296</v>
      </c>
      <c r="O292" t="s">
        <v>1571</v>
      </c>
      <c r="P292">
        <v>2019</v>
      </c>
      <c r="Q292" t="s">
        <v>1302</v>
      </c>
      <c r="R292" t="s">
        <v>1312</v>
      </c>
      <c r="S292" t="s">
        <v>1572</v>
      </c>
      <c r="T292" t="str">
        <f>CONCATENATE(Table1[[#This Row],[Name]]," ",Table1[[#This Row],[Surname/Studio Name/Artistic Name]])</f>
        <v>Shohei Fujimoto</v>
      </c>
    </row>
    <row r="293" spans="1:20" x14ac:dyDescent="0.35">
      <c r="A293">
        <v>292</v>
      </c>
      <c r="B293" t="s">
        <v>563</v>
      </c>
      <c r="C293" t="s">
        <v>564</v>
      </c>
      <c r="D293" t="s">
        <v>1892</v>
      </c>
      <c r="E293" t="s">
        <v>1916</v>
      </c>
      <c r="F293" t="s">
        <v>20</v>
      </c>
      <c r="G293" t="s">
        <v>1916</v>
      </c>
      <c r="H293" t="s">
        <v>26</v>
      </c>
      <c r="I293" t="s">
        <v>22</v>
      </c>
      <c r="J293">
        <v>1972</v>
      </c>
      <c r="K293">
        <f>2026-Table1[[#This Row],[Birthyear]]</f>
        <v>54</v>
      </c>
      <c r="L293" t="s">
        <v>1900</v>
      </c>
      <c r="M293" t="s">
        <v>1310</v>
      </c>
      <c r="N293" t="s">
        <v>1296</v>
      </c>
      <c r="O293" t="s">
        <v>1573</v>
      </c>
      <c r="P293">
        <v>2021</v>
      </c>
      <c r="Q293" t="s">
        <v>1350</v>
      </c>
      <c r="R293" t="s">
        <v>1574</v>
      </c>
      <c r="S293" t="s">
        <v>1373</v>
      </c>
      <c r="T293" t="str">
        <f>CONCATENATE(Table1[[#This Row],[Name]]," ",Table1[[#This Row],[Surname/Studio Name/Artistic Name]])</f>
        <v>Saeed Gamhawi</v>
      </c>
    </row>
    <row r="294" spans="1:20" x14ac:dyDescent="0.35">
      <c r="A294">
        <v>293</v>
      </c>
      <c r="B294" t="s">
        <v>565</v>
      </c>
      <c r="C294" t="s">
        <v>566</v>
      </c>
      <c r="D294" t="s">
        <v>1892</v>
      </c>
      <c r="E294" t="s">
        <v>1916</v>
      </c>
      <c r="F294" t="s">
        <v>20</v>
      </c>
      <c r="G294" t="s">
        <v>1916</v>
      </c>
      <c r="H294" t="s">
        <v>26</v>
      </c>
      <c r="I294" t="s">
        <v>22</v>
      </c>
      <c r="J294">
        <v>1975</v>
      </c>
      <c r="K294">
        <f>2026-Table1[[#This Row],[Birthyear]]</f>
        <v>51</v>
      </c>
      <c r="L294" t="s">
        <v>1290</v>
      </c>
      <c r="M294" t="s">
        <v>1290</v>
      </c>
      <c r="N294" t="s">
        <v>1291</v>
      </c>
      <c r="S294" t="s">
        <v>1359</v>
      </c>
      <c r="T294" t="str">
        <f>CONCATENATE(Table1[[#This Row],[Name]]," ",Table1[[#This Row],[Surname/Studio Name/Artistic Name]])</f>
        <v>Quentin Garel</v>
      </c>
    </row>
    <row r="295" spans="1:20" x14ac:dyDescent="0.35">
      <c r="A295">
        <v>294</v>
      </c>
      <c r="B295" t="s">
        <v>567</v>
      </c>
      <c r="C295" t="s">
        <v>568</v>
      </c>
      <c r="D295" t="s">
        <v>1892</v>
      </c>
      <c r="E295" t="s">
        <v>1916</v>
      </c>
      <c r="F295" t="s">
        <v>20</v>
      </c>
      <c r="G295" t="s">
        <v>1916</v>
      </c>
      <c r="H295" t="s">
        <v>21</v>
      </c>
      <c r="J295">
        <v>1979</v>
      </c>
      <c r="K295">
        <f>2026-Table1[[#This Row],[Birthyear]]</f>
        <v>47</v>
      </c>
      <c r="L295" t="s">
        <v>1900</v>
      </c>
      <c r="M295" t="s">
        <v>1300</v>
      </c>
      <c r="N295" t="s">
        <v>1296</v>
      </c>
      <c r="O295" t="s">
        <v>1575</v>
      </c>
      <c r="P295">
        <v>2022</v>
      </c>
      <c r="Q295" t="s">
        <v>1298</v>
      </c>
      <c r="R295" t="s">
        <v>1312</v>
      </c>
      <c r="S295" t="s">
        <v>1399</v>
      </c>
      <c r="T295" t="str">
        <f>CONCATENATE(Table1[[#This Row],[Name]]," ",Table1[[#This Row],[Surname/Studio Name/Artistic Name]])</f>
        <v>Lina Gazzaz</v>
      </c>
    </row>
    <row r="296" spans="1:20" x14ac:dyDescent="0.35">
      <c r="A296">
        <v>295</v>
      </c>
      <c r="B296" t="s">
        <v>569</v>
      </c>
      <c r="C296" t="s">
        <v>564</v>
      </c>
      <c r="D296" t="s">
        <v>1892</v>
      </c>
      <c r="E296" t="s">
        <v>1916</v>
      </c>
      <c r="F296" t="s">
        <v>20</v>
      </c>
      <c r="G296" t="s">
        <v>1916</v>
      </c>
      <c r="H296" t="s">
        <v>26</v>
      </c>
      <c r="J296">
        <v>1989</v>
      </c>
      <c r="K296">
        <f>2026-Table1[[#This Row],[Birthyear]]</f>
        <v>37</v>
      </c>
      <c r="L296" t="s">
        <v>1900</v>
      </c>
      <c r="M296" t="s">
        <v>1295</v>
      </c>
      <c r="N296" t="s">
        <v>1296</v>
      </c>
      <c r="O296" t="s">
        <v>1576</v>
      </c>
      <c r="P296">
        <v>2025</v>
      </c>
      <c r="Q296" t="s">
        <v>1302</v>
      </c>
      <c r="R296" t="s">
        <v>1467</v>
      </c>
      <c r="T296" t="str">
        <f>CONCATENATE(Table1[[#This Row],[Name]]," ",Table1[[#This Row],[Surname/Studio Name/Artistic Name]])</f>
        <v>Saeed Gebaan</v>
      </c>
    </row>
    <row r="297" spans="1:20" x14ac:dyDescent="0.35">
      <c r="A297">
        <v>296</v>
      </c>
      <c r="B297" t="s">
        <v>570</v>
      </c>
      <c r="C297" t="s">
        <v>571</v>
      </c>
      <c r="D297" t="s">
        <v>1892</v>
      </c>
      <c r="E297" t="s">
        <v>1916</v>
      </c>
      <c r="F297" t="s">
        <v>20</v>
      </c>
      <c r="G297" t="s">
        <v>1916</v>
      </c>
      <c r="H297" t="s">
        <v>26</v>
      </c>
      <c r="J297">
        <v>1986</v>
      </c>
      <c r="K297">
        <f>2026-Table1[[#This Row],[Birthyear]]</f>
        <v>40</v>
      </c>
      <c r="L297" t="s">
        <v>1914</v>
      </c>
      <c r="M297" t="s">
        <v>1326</v>
      </c>
      <c r="N297" t="s">
        <v>1327</v>
      </c>
      <c r="T297" t="str">
        <f>CONCATENATE(Table1[[#This Row],[Name]]," ",Table1[[#This Row],[Surname/Studio Name/Artistic Name]])</f>
        <v>Rafail Georgiev</v>
      </c>
    </row>
    <row r="298" spans="1:20" x14ac:dyDescent="0.35">
      <c r="A298">
        <v>297</v>
      </c>
      <c r="B298" t="s">
        <v>573</v>
      </c>
      <c r="C298" t="s">
        <v>574</v>
      </c>
      <c r="D298" t="s">
        <v>1892</v>
      </c>
      <c r="E298" t="s">
        <v>1916</v>
      </c>
      <c r="F298" t="s">
        <v>25</v>
      </c>
      <c r="G298" t="s">
        <v>1916</v>
      </c>
      <c r="H298" t="s">
        <v>26</v>
      </c>
      <c r="I298" t="s">
        <v>22</v>
      </c>
      <c r="J298">
        <v>1973</v>
      </c>
      <c r="K298">
        <f>2026-Table1[[#This Row],[Birthyear]]</f>
        <v>53</v>
      </c>
      <c r="L298" t="s">
        <v>1293</v>
      </c>
      <c r="M298" t="s">
        <v>1293</v>
      </c>
      <c r="N298" t="s">
        <v>1294</v>
      </c>
      <c r="R298" t="s">
        <v>1577</v>
      </c>
      <c r="T298" t="str">
        <f>CONCATENATE(Table1[[#This Row],[Name]]," ",Table1[[#This Row],[Surname/Studio Name/Artistic Name]])</f>
        <v>Abdulnasser Gharem</v>
      </c>
    </row>
    <row r="299" spans="1:20" x14ac:dyDescent="0.35">
      <c r="A299">
        <v>298</v>
      </c>
      <c r="B299" t="s">
        <v>573</v>
      </c>
      <c r="C299" t="s">
        <v>575</v>
      </c>
      <c r="D299" t="s">
        <v>1892</v>
      </c>
      <c r="E299" t="s">
        <v>1916</v>
      </c>
      <c r="F299" t="s">
        <v>25</v>
      </c>
      <c r="G299" t="s">
        <v>1916</v>
      </c>
      <c r="H299" t="s">
        <v>26</v>
      </c>
      <c r="J299">
        <v>1985</v>
      </c>
      <c r="K299">
        <f>2026-Table1[[#This Row],[Birthyear]]</f>
        <v>41</v>
      </c>
      <c r="L299" t="s">
        <v>1293</v>
      </c>
      <c r="M299" t="s">
        <v>1293</v>
      </c>
      <c r="N299" t="s">
        <v>1294</v>
      </c>
      <c r="T299" t="str">
        <f>CONCATENATE(Table1[[#This Row],[Name]]," ",Table1[[#This Row],[Surname/Studio Name/Artistic Name]])</f>
        <v>Ajlan Gharem</v>
      </c>
    </row>
    <row r="300" spans="1:20" x14ac:dyDescent="0.35">
      <c r="A300">
        <v>299</v>
      </c>
      <c r="B300" t="s">
        <v>576</v>
      </c>
      <c r="C300" t="s">
        <v>577</v>
      </c>
      <c r="D300" t="s">
        <v>1892</v>
      </c>
      <c r="E300" t="s">
        <v>1916</v>
      </c>
      <c r="F300" t="s">
        <v>20</v>
      </c>
      <c r="G300" t="s">
        <v>1916</v>
      </c>
      <c r="H300" t="s">
        <v>26</v>
      </c>
      <c r="J300">
        <v>1969</v>
      </c>
      <c r="K300">
        <f>2026-Table1[[#This Row],[Birthyear]]</f>
        <v>57</v>
      </c>
      <c r="L300" t="s">
        <v>1914</v>
      </c>
      <c r="M300" t="s">
        <v>1326</v>
      </c>
      <c r="N300" t="s">
        <v>1327</v>
      </c>
      <c r="T300" t="str">
        <f>CONCATENATE(Table1[[#This Row],[Name]]," ",Table1[[#This Row],[Surname/Studio Name/Artistic Name]])</f>
        <v>Valentino Giampaoli</v>
      </c>
    </row>
    <row r="301" spans="1:20" x14ac:dyDescent="0.35">
      <c r="A301">
        <v>300</v>
      </c>
      <c r="B301" t="s">
        <v>578</v>
      </c>
      <c r="C301" t="s">
        <v>579</v>
      </c>
      <c r="D301" t="s">
        <v>1892</v>
      </c>
      <c r="E301" t="s">
        <v>1916</v>
      </c>
      <c r="F301" t="s">
        <v>20</v>
      </c>
      <c r="G301" t="s">
        <v>1916</v>
      </c>
      <c r="H301" t="s">
        <v>26</v>
      </c>
      <c r="J301">
        <v>1974</v>
      </c>
      <c r="K301">
        <f>2026-Table1[[#This Row],[Birthyear]]</f>
        <v>52</v>
      </c>
      <c r="L301" t="s">
        <v>1357</v>
      </c>
      <c r="M301" t="s">
        <v>1357</v>
      </c>
      <c r="N301" t="s">
        <v>1294</v>
      </c>
      <c r="S301" t="s">
        <v>1578</v>
      </c>
      <c r="T301" t="str">
        <f>CONCATENATE(Table1[[#This Row],[Name]]," ",Table1[[#This Row],[Surname/Studio Name/Artistic Name]])</f>
        <v>Anton Ginzburg</v>
      </c>
    </row>
    <row r="302" spans="1:20" x14ac:dyDescent="0.35">
      <c r="A302">
        <v>301</v>
      </c>
      <c r="B302" t="s">
        <v>580</v>
      </c>
      <c r="C302" t="s">
        <v>581</v>
      </c>
      <c r="D302" t="s">
        <v>1892</v>
      </c>
      <c r="E302" t="s">
        <v>1916</v>
      </c>
      <c r="F302" t="s">
        <v>20</v>
      </c>
      <c r="G302" t="s">
        <v>1916</v>
      </c>
      <c r="H302" t="s">
        <v>26</v>
      </c>
      <c r="J302">
        <v>1953</v>
      </c>
      <c r="K302">
        <f>2026-Table1[[#This Row],[Birthyear]]</f>
        <v>73</v>
      </c>
      <c r="L302" t="s">
        <v>1914</v>
      </c>
      <c r="M302" t="s">
        <v>1345</v>
      </c>
      <c r="N302" t="s">
        <v>1296</v>
      </c>
      <c r="O302" t="s">
        <v>1579</v>
      </c>
      <c r="P302">
        <v>2021</v>
      </c>
      <c r="Q302" t="s">
        <v>1344</v>
      </c>
      <c r="R302" t="s">
        <v>1299</v>
      </c>
      <c r="T302" t="str">
        <f>CONCATENATE(Table1[[#This Row],[Name]]," ",Table1[[#This Row],[Surname/Studio Name/Artistic Name]])</f>
        <v>Jhon Gogaberishvili</v>
      </c>
    </row>
    <row r="303" spans="1:20" x14ac:dyDescent="0.35">
      <c r="A303">
        <v>302</v>
      </c>
      <c r="B303" t="s">
        <v>583</v>
      </c>
      <c r="C303" t="s">
        <v>584</v>
      </c>
      <c r="D303" t="s">
        <v>1892</v>
      </c>
      <c r="E303" t="s">
        <v>1916</v>
      </c>
      <c r="F303" t="s">
        <v>20</v>
      </c>
      <c r="G303" t="s">
        <v>1916</v>
      </c>
      <c r="H303" t="s">
        <v>26</v>
      </c>
      <c r="J303">
        <v>1982</v>
      </c>
      <c r="K303">
        <f>2026-Table1[[#This Row],[Birthyear]]</f>
        <v>44</v>
      </c>
      <c r="L303" t="s">
        <v>1914</v>
      </c>
      <c r="M303" t="s">
        <v>1326</v>
      </c>
      <c r="N303" t="s">
        <v>1296</v>
      </c>
      <c r="O303" t="s">
        <v>1580</v>
      </c>
      <c r="P303">
        <v>2023</v>
      </c>
      <c r="Q303" t="s">
        <v>1344</v>
      </c>
      <c r="T303" t="str">
        <f>CONCATENATE(Table1[[#This Row],[Name]]," ",Table1[[#This Row],[Surname/Studio Name/Artistic Name]])</f>
        <v>Rob Good</v>
      </c>
    </row>
    <row r="304" spans="1:20" x14ac:dyDescent="0.35">
      <c r="A304">
        <v>303</v>
      </c>
      <c r="B304" t="s">
        <v>585</v>
      </c>
      <c r="C304" t="s">
        <v>586</v>
      </c>
      <c r="D304" t="s">
        <v>1892</v>
      </c>
      <c r="E304" t="s">
        <v>1916</v>
      </c>
      <c r="F304" t="s">
        <v>25</v>
      </c>
      <c r="G304" t="s">
        <v>1916</v>
      </c>
      <c r="H304" t="s">
        <v>26</v>
      </c>
      <c r="J304">
        <v>1953</v>
      </c>
      <c r="K304">
        <f>2026-Table1[[#This Row],[Birthyear]]</f>
        <v>73</v>
      </c>
      <c r="L304" t="s">
        <v>1293</v>
      </c>
      <c r="M304" t="s">
        <v>1293</v>
      </c>
      <c r="N304" t="s">
        <v>1294</v>
      </c>
      <c r="T304" t="str">
        <f>CONCATENATE(Table1[[#This Row],[Name]]," ",Table1[[#This Row],[Surname/Studio Name/Artistic Name]])</f>
        <v>Neil Goodman</v>
      </c>
    </row>
    <row r="305" spans="1:20" x14ac:dyDescent="0.35">
      <c r="A305">
        <v>304</v>
      </c>
      <c r="B305" t="s">
        <v>587</v>
      </c>
      <c r="C305" t="s">
        <v>588</v>
      </c>
      <c r="D305" t="s">
        <v>1892</v>
      </c>
      <c r="E305" t="s">
        <v>1916</v>
      </c>
      <c r="F305" t="s">
        <v>25</v>
      </c>
      <c r="G305" t="s">
        <v>1916</v>
      </c>
      <c r="H305" t="s">
        <v>26</v>
      </c>
      <c r="J305">
        <v>1966</v>
      </c>
      <c r="K305">
        <f>2026-Table1[[#This Row],[Birthyear]]</f>
        <v>60</v>
      </c>
      <c r="L305" t="s">
        <v>1293</v>
      </c>
      <c r="M305" t="s">
        <v>1293</v>
      </c>
      <c r="N305" t="s">
        <v>1309</v>
      </c>
      <c r="T305" t="str">
        <f>CONCATENATE(Table1[[#This Row],[Name]]," ",Table1[[#This Row],[Surname/Studio Name/Artistic Name]])</f>
        <v>Douglas Gordon</v>
      </c>
    </row>
    <row r="306" spans="1:20" x14ac:dyDescent="0.35">
      <c r="A306">
        <v>305</v>
      </c>
      <c r="B306" t="s">
        <v>589</v>
      </c>
      <c r="C306" t="s">
        <v>590</v>
      </c>
      <c r="D306" t="s">
        <v>1892</v>
      </c>
      <c r="E306" t="s">
        <v>1916</v>
      </c>
      <c r="F306" t="s">
        <v>20</v>
      </c>
      <c r="G306" t="s">
        <v>1916</v>
      </c>
      <c r="H306" t="s">
        <v>26</v>
      </c>
      <c r="I306" t="s">
        <v>22</v>
      </c>
      <c r="J306">
        <v>1972</v>
      </c>
      <c r="K306">
        <f>2026-Table1[[#This Row],[Birthyear]]</f>
        <v>54</v>
      </c>
      <c r="L306" t="s">
        <v>1293</v>
      </c>
      <c r="M306" t="s">
        <v>1293</v>
      </c>
      <c r="N306" t="s">
        <v>1296</v>
      </c>
      <c r="O306" t="s">
        <v>1581</v>
      </c>
      <c r="Q306" t="s">
        <v>1582</v>
      </c>
      <c r="R306" t="s">
        <v>1583</v>
      </c>
      <c r="S306" t="s">
        <v>1436</v>
      </c>
      <c r="T306" t="str">
        <f>CONCATENATE(Table1[[#This Row],[Name]]," ",Table1[[#This Row],[Surname/Studio Name/Artistic Name]])</f>
        <v>Laurent Grasso</v>
      </c>
    </row>
    <row r="307" spans="1:20" x14ac:dyDescent="0.35">
      <c r="A307">
        <v>306</v>
      </c>
      <c r="B307" t="s">
        <v>591</v>
      </c>
      <c r="C307" t="s">
        <v>592</v>
      </c>
      <c r="D307" t="s">
        <v>1892</v>
      </c>
      <c r="E307" t="s">
        <v>1916</v>
      </c>
      <c r="F307" t="s">
        <v>20</v>
      </c>
      <c r="G307" t="s">
        <v>1916</v>
      </c>
      <c r="H307" t="s">
        <v>21</v>
      </c>
      <c r="J307">
        <v>1961</v>
      </c>
      <c r="K307">
        <f>2026-Table1[[#This Row],[Birthyear]]</f>
        <v>65</v>
      </c>
      <c r="L307" t="s">
        <v>1900</v>
      </c>
      <c r="M307" t="s">
        <v>1300</v>
      </c>
      <c r="N307" t="s">
        <v>1296</v>
      </c>
      <c r="O307" t="s">
        <v>1584</v>
      </c>
      <c r="P307">
        <v>2022</v>
      </c>
      <c r="Q307" t="s">
        <v>1298</v>
      </c>
      <c r="R307" t="s">
        <v>1312</v>
      </c>
      <c r="S307" t="s">
        <v>1304</v>
      </c>
      <c r="T307" t="str">
        <f>CONCATENATE(Table1[[#This Row],[Name]]," ",Table1[[#This Row],[Surname/Studio Name/Artistic Name]])</f>
        <v>Johanna Grawunder</v>
      </c>
    </row>
    <row r="308" spans="1:20" x14ac:dyDescent="0.35">
      <c r="A308">
        <v>307</v>
      </c>
      <c r="B308" t="s">
        <v>593</v>
      </c>
      <c r="C308" t="s">
        <v>594</v>
      </c>
      <c r="D308" t="s">
        <v>1892</v>
      </c>
      <c r="E308" t="s">
        <v>1916</v>
      </c>
      <c r="F308" t="s">
        <v>20</v>
      </c>
      <c r="G308" t="s">
        <v>1916</v>
      </c>
      <c r="H308" t="s">
        <v>26</v>
      </c>
      <c r="J308">
        <v>1990</v>
      </c>
      <c r="K308">
        <f>2026-Table1[[#This Row],[Birthyear]]</f>
        <v>36</v>
      </c>
      <c r="L308" t="s">
        <v>1900</v>
      </c>
      <c r="M308" t="s">
        <v>1322</v>
      </c>
      <c r="N308" t="s">
        <v>1296</v>
      </c>
      <c r="O308" t="s">
        <v>1585</v>
      </c>
      <c r="P308">
        <v>2023</v>
      </c>
      <c r="Q308" t="s">
        <v>1302</v>
      </c>
      <c r="R308" t="s">
        <v>1299</v>
      </c>
      <c r="T308" t="str">
        <f>CONCATENATE(Table1[[#This Row],[Name]]," ",Table1[[#This Row],[Surname/Studio Name/Artistic Name]])</f>
        <v>Janez Groselj</v>
      </c>
    </row>
    <row r="309" spans="1:20" x14ac:dyDescent="0.35">
      <c r="A309">
        <v>308</v>
      </c>
      <c r="B309" t="s">
        <v>596</v>
      </c>
      <c r="C309" t="s">
        <v>597</v>
      </c>
      <c r="D309" t="s">
        <v>1892</v>
      </c>
      <c r="E309" t="s">
        <v>1916</v>
      </c>
      <c r="F309" t="s">
        <v>20</v>
      </c>
      <c r="G309" t="s">
        <v>1916</v>
      </c>
      <c r="H309" t="s">
        <v>21</v>
      </c>
      <c r="I309" t="s">
        <v>22</v>
      </c>
      <c r="J309">
        <v>1974</v>
      </c>
      <c r="K309">
        <f>2026-Table1[[#This Row],[Birthyear]]</f>
        <v>52</v>
      </c>
      <c r="L309" t="s">
        <v>1290</v>
      </c>
      <c r="M309" t="s">
        <v>1290</v>
      </c>
      <c r="N309" t="s">
        <v>1387</v>
      </c>
      <c r="O309" t="s">
        <v>1586</v>
      </c>
      <c r="Q309" t="s">
        <v>1519</v>
      </c>
      <c r="R309" t="s">
        <v>1587</v>
      </c>
      <c r="S309" t="s">
        <v>1542</v>
      </c>
      <c r="T309" t="str">
        <f>CONCATENATE(Table1[[#This Row],[Name]]," ",Table1[[#This Row],[Surname/Studio Name/Artistic Name]])</f>
        <v>Sherin Guirguis</v>
      </c>
    </row>
    <row r="310" spans="1:20" x14ac:dyDescent="0.35">
      <c r="A310">
        <v>309</v>
      </c>
      <c r="B310" t="s">
        <v>598</v>
      </c>
      <c r="C310" t="s">
        <v>599</v>
      </c>
      <c r="D310" t="s">
        <v>1892</v>
      </c>
      <c r="E310" t="s">
        <v>1916</v>
      </c>
      <c r="F310" t="s">
        <v>20</v>
      </c>
      <c r="G310" t="s">
        <v>1916</v>
      </c>
      <c r="H310" t="s">
        <v>21</v>
      </c>
      <c r="J310">
        <v>1976</v>
      </c>
      <c r="K310">
        <f>2026-Table1[[#This Row],[Birthyear]]</f>
        <v>50</v>
      </c>
      <c r="L310" t="s">
        <v>1290</v>
      </c>
      <c r="M310" t="s">
        <v>1290</v>
      </c>
      <c r="N310" t="s">
        <v>1291</v>
      </c>
      <c r="S310" t="s">
        <v>1464</v>
      </c>
      <c r="T310" t="str">
        <f>CONCATENATE(Table1[[#This Row],[Name]]," ",Table1[[#This Row],[Surname/Studio Name/Artistic Name]])</f>
        <v>Shilpa Gupta</v>
      </c>
    </row>
    <row r="311" spans="1:20" x14ac:dyDescent="0.35">
      <c r="A311">
        <v>310</v>
      </c>
      <c r="B311" t="s">
        <v>598</v>
      </c>
      <c r="C311" t="s">
        <v>601</v>
      </c>
      <c r="D311" t="s">
        <v>1892</v>
      </c>
      <c r="E311" t="s">
        <v>1916</v>
      </c>
      <c r="F311" t="s">
        <v>25</v>
      </c>
      <c r="G311" t="s">
        <v>1916</v>
      </c>
      <c r="H311" t="s">
        <v>26</v>
      </c>
      <c r="J311">
        <v>1964</v>
      </c>
      <c r="K311">
        <f>2026-Table1[[#This Row],[Birthyear]]</f>
        <v>62</v>
      </c>
      <c r="L311" t="s">
        <v>1588</v>
      </c>
      <c r="M311" t="s">
        <v>1588</v>
      </c>
      <c r="N311" t="s">
        <v>1296</v>
      </c>
      <c r="O311" t="s">
        <v>1589</v>
      </c>
      <c r="P311">
        <v>2020</v>
      </c>
      <c r="Q311" t="s">
        <v>1298</v>
      </c>
      <c r="R311" t="s">
        <v>1355</v>
      </c>
      <c r="S311" t="s">
        <v>1590</v>
      </c>
      <c r="T311" t="str">
        <f>CONCATENATE(Table1[[#This Row],[Name]]," ",Table1[[#This Row],[Surname/Studio Name/Artistic Name]])</f>
        <v>Subodh Gupta</v>
      </c>
    </row>
    <row r="312" spans="1:20" x14ac:dyDescent="0.35">
      <c r="A312">
        <v>311</v>
      </c>
      <c r="B312" t="s">
        <v>602</v>
      </c>
      <c r="C312" t="s">
        <v>603</v>
      </c>
      <c r="D312" t="s">
        <v>1892</v>
      </c>
      <c r="E312" t="s">
        <v>1916</v>
      </c>
      <c r="F312" t="s">
        <v>20</v>
      </c>
      <c r="G312" t="s">
        <v>1916</v>
      </c>
      <c r="H312" t="s">
        <v>26</v>
      </c>
      <c r="J312">
        <v>1983</v>
      </c>
      <c r="K312">
        <f>2026-Table1[[#This Row],[Birthyear]]</f>
        <v>43</v>
      </c>
      <c r="L312" t="s">
        <v>1914</v>
      </c>
      <c r="M312" t="s">
        <v>1342</v>
      </c>
      <c r="N312" t="s">
        <v>1296</v>
      </c>
      <c r="O312" t="s">
        <v>1591</v>
      </c>
      <c r="P312">
        <v>2025</v>
      </c>
      <c r="Q312" t="s">
        <v>1344</v>
      </c>
      <c r="T312" t="str">
        <f>CONCATENATE(Table1[[#This Row],[Name]]," ",Table1[[#This Row],[Surname/Studio Name/Artistic Name]])</f>
        <v>Majid Haghighi</v>
      </c>
    </row>
    <row r="313" spans="1:20" x14ac:dyDescent="0.35">
      <c r="A313">
        <v>312</v>
      </c>
      <c r="B313" t="s">
        <v>604</v>
      </c>
      <c r="C313" t="s">
        <v>605</v>
      </c>
      <c r="D313" t="s">
        <v>1892</v>
      </c>
      <c r="E313" t="s">
        <v>1916</v>
      </c>
      <c r="F313" t="s">
        <v>20</v>
      </c>
      <c r="G313" t="s">
        <v>1916</v>
      </c>
      <c r="H313" t="s">
        <v>26</v>
      </c>
      <c r="I313" t="s">
        <v>22</v>
      </c>
      <c r="J313">
        <v>1961</v>
      </c>
      <c r="K313">
        <f>2026-Table1[[#This Row],[Birthyear]]</f>
        <v>65</v>
      </c>
      <c r="L313" t="s">
        <v>1290</v>
      </c>
      <c r="M313" t="s">
        <v>1290</v>
      </c>
      <c r="N313" t="s">
        <v>1296</v>
      </c>
      <c r="O313" t="s">
        <v>1592</v>
      </c>
      <c r="Q313" t="s">
        <v>1306</v>
      </c>
      <c r="R313" t="s">
        <v>1593</v>
      </c>
      <c r="S313" t="s">
        <v>1594</v>
      </c>
      <c r="T313" t="str">
        <f>CONCATENATE(Table1[[#This Row],[Name]]," ",Table1[[#This Row],[Surname/Studio Name/Artistic Name]])</f>
        <v>Hassan Hajjaj</v>
      </c>
    </row>
    <row r="314" spans="1:20" x14ac:dyDescent="0.35">
      <c r="A314">
        <v>313</v>
      </c>
      <c r="B314" t="s">
        <v>606</v>
      </c>
      <c r="C314" t="s">
        <v>607</v>
      </c>
      <c r="D314" t="s">
        <v>1892</v>
      </c>
      <c r="E314" t="s">
        <v>1916</v>
      </c>
      <c r="F314" t="s">
        <v>20</v>
      </c>
      <c r="G314" t="s">
        <v>1916</v>
      </c>
      <c r="H314" t="s">
        <v>21</v>
      </c>
      <c r="J314">
        <v>1985</v>
      </c>
      <c r="K314">
        <f>2026-Table1[[#This Row],[Birthyear]]</f>
        <v>41</v>
      </c>
      <c r="L314" t="s">
        <v>1900</v>
      </c>
      <c r="M314" t="s">
        <v>1310</v>
      </c>
      <c r="N314" t="s">
        <v>1296</v>
      </c>
      <c r="O314" t="s">
        <v>1595</v>
      </c>
      <c r="P314">
        <v>2021</v>
      </c>
      <c r="Q314" t="s">
        <v>1302</v>
      </c>
      <c r="R314" t="s">
        <v>1596</v>
      </c>
      <c r="T314" t="str">
        <f>CONCATENATE(Table1[[#This Row],[Name]]," ",Table1[[#This Row],[Surname/Studio Name/Artistic Name]])</f>
        <v>Karolina Halatek</v>
      </c>
    </row>
    <row r="315" spans="1:20" x14ac:dyDescent="0.35">
      <c r="A315">
        <v>314</v>
      </c>
      <c r="B315" t="s">
        <v>608</v>
      </c>
      <c r="C315" t="s">
        <v>609</v>
      </c>
      <c r="D315" t="s">
        <v>1892</v>
      </c>
      <c r="E315" t="s">
        <v>1916</v>
      </c>
      <c r="F315" t="s">
        <v>25</v>
      </c>
      <c r="G315" t="s">
        <v>1916</v>
      </c>
      <c r="H315" t="s">
        <v>26</v>
      </c>
      <c r="J315">
        <v>1943</v>
      </c>
      <c r="K315">
        <f>2026-Table1[[#This Row],[Birthyear]]</f>
        <v>83</v>
      </c>
      <c r="L315" t="s">
        <v>1293</v>
      </c>
      <c r="M315" t="s">
        <v>1293</v>
      </c>
      <c r="N315" t="s">
        <v>1309</v>
      </c>
      <c r="T315" t="str">
        <f>CONCATENATE(Table1[[#This Row],[Name]]," ",Table1[[#This Row],[Surname/Studio Name/Artistic Name]])</f>
        <v>Nigel Hall</v>
      </c>
    </row>
    <row r="316" spans="1:20" x14ac:dyDescent="0.35">
      <c r="A316">
        <v>315</v>
      </c>
      <c r="B316" t="s">
        <v>610</v>
      </c>
      <c r="C316" t="s">
        <v>100</v>
      </c>
      <c r="D316" t="s">
        <v>1892</v>
      </c>
      <c r="E316" t="s">
        <v>1916</v>
      </c>
      <c r="F316" t="s">
        <v>20</v>
      </c>
      <c r="G316" t="s">
        <v>1916</v>
      </c>
      <c r="H316" t="s">
        <v>26</v>
      </c>
      <c r="J316">
        <v>1983</v>
      </c>
      <c r="K316">
        <f>2026-Table1[[#This Row],[Birthyear]]</f>
        <v>43</v>
      </c>
      <c r="L316" t="s">
        <v>1900</v>
      </c>
      <c r="M316" t="s">
        <v>1300</v>
      </c>
      <c r="N316" t="s">
        <v>1296</v>
      </c>
      <c r="O316" t="s">
        <v>1597</v>
      </c>
      <c r="P316" t="s">
        <v>1598</v>
      </c>
      <c r="Q316" t="s">
        <v>1350</v>
      </c>
      <c r="R316" t="s">
        <v>1312</v>
      </c>
      <c r="S316" t="s">
        <v>1304</v>
      </c>
      <c r="T316" t="str">
        <f>CONCATENATE(Table1[[#This Row],[Name]]," ",Table1[[#This Row],[Surname/Studio Name/Artistic Name]])</f>
        <v>Mohammed Hammad</v>
      </c>
    </row>
    <row r="317" spans="1:20" x14ac:dyDescent="0.35">
      <c r="A317">
        <v>316</v>
      </c>
      <c r="B317" t="s">
        <v>611</v>
      </c>
      <c r="C317" t="s">
        <v>75</v>
      </c>
      <c r="D317" t="s">
        <v>1892</v>
      </c>
      <c r="E317" t="s">
        <v>1916</v>
      </c>
      <c r="F317" t="s">
        <v>20</v>
      </c>
      <c r="G317" t="s">
        <v>1916</v>
      </c>
      <c r="H317" t="s">
        <v>26</v>
      </c>
      <c r="I317" t="s">
        <v>22</v>
      </c>
      <c r="J317">
        <v>1952</v>
      </c>
      <c r="K317">
        <f>2026-Table1[[#This Row],[Birthyear]]</f>
        <v>74</v>
      </c>
      <c r="L317" t="s">
        <v>1290</v>
      </c>
      <c r="M317" t="s">
        <v>1290</v>
      </c>
      <c r="N317" t="s">
        <v>1291</v>
      </c>
      <c r="S317" t="s">
        <v>1599</v>
      </c>
      <c r="T317" t="str">
        <f>CONCATENATE(Table1[[#This Row],[Name]]," ",Table1[[#This Row],[Surname/Studio Name/Artistic Name]])</f>
        <v>Abdullah Hammas</v>
      </c>
    </row>
    <row r="318" spans="1:20" x14ac:dyDescent="0.35">
      <c r="A318">
        <v>317</v>
      </c>
      <c r="B318" t="s">
        <v>612</v>
      </c>
      <c r="C318" t="s">
        <v>613</v>
      </c>
      <c r="D318" t="s">
        <v>1892</v>
      </c>
      <c r="E318" t="s">
        <v>1916</v>
      </c>
      <c r="F318" t="s">
        <v>25</v>
      </c>
      <c r="G318" t="s">
        <v>1916</v>
      </c>
      <c r="H318" t="s">
        <v>26</v>
      </c>
      <c r="I318" t="s">
        <v>22</v>
      </c>
      <c r="J318">
        <v>1976</v>
      </c>
      <c r="K318">
        <f>2026-Table1[[#This Row],[Birthyear]]</f>
        <v>50</v>
      </c>
      <c r="L318" t="s">
        <v>1290</v>
      </c>
      <c r="M318" t="s">
        <v>1290</v>
      </c>
      <c r="N318" t="s">
        <v>1296</v>
      </c>
      <c r="O318" t="s">
        <v>1600</v>
      </c>
      <c r="Q318" t="s">
        <v>1298</v>
      </c>
      <c r="R318" t="s">
        <v>1601</v>
      </c>
      <c r="S318" t="s">
        <v>1602</v>
      </c>
      <c r="T318" t="str">
        <f>CONCATENATE(Table1[[#This Row],[Name]]," ",Table1[[#This Row],[Surname/Studio Name/Artistic Name]])</f>
        <v>Thomas Hank Willis</v>
      </c>
    </row>
    <row r="319" spans="1:20" x14ac:dyDescent="0.35">
      <c r="A319">
        <v>318</v>
      </c>
      <c r="B319" t="s">
        <v>614</v>
      </c>
      <c r="D319" t="s">
        <v>1892</v>
      </c>
      <c r="E319" t="s">
        <v>1916</v>
      </c>
      <c r="F319" t="s">
        <v>20</v>
      </c>
      <c r="G319" t="s">
        <v>1916</v>
      </c>
      <c r="H319" t="s">
        <v>26</v>
      </c>
      <c r="J319">
        <v>1978</v>
      </c>
      <c r="K319">
        <f>2026-Table1[[#This Row],[Birthyear]]</f>
        <v>48</v>
      </c>
      <c r="L319" t="s">
        <v>1290</v>
      </c>
      <c r="M319" t="s">
        <v>1290</v>
      </c>
      <c r="N319" t="s">
        <v>1337</v>
      </c>
      <c r="S319" t="s">
        <v>1338</v>
      </c>
      <c r="T319" t="str">
        <f>CONCATENATE(Table1[[#This Row],[Name]]," ",Table1[[#This Row],[Surname/Studio Name/Artistic Name]])</f>
        <v xml:space="preserve"> Haroshi</v>
      </c>
    </row>
    <row r="320" spans="1:20" x14ac:dyDescent="0.35">
      <c r="A320">
        <v>319</v>
      </c>
      <c r="B320" t="s">
        <v>615</v>
      </c>
      <c r="C320" t="s">
        <v>416</v>
      </c>
      <c r="D320" t="s">
        <v>1892</v>
      </c>
      <c r="E320" t="s">
        <v>1916</v>
      </c>
      <c r="F320" t="s">
        <v>25</v>
      </c>
      <c r="G320" t="s">
        <v>1916</v>
      </c>
      <c r="H320" t="s">
        <v>21</v>
      </c>
      <c r="I320" t="s">
        <v>22</v>
      </c>
      <c r="J320">
        <v>1955</v>
      </c>
      <c r="K320">
        <f>2026-Table1[[#This Row],[Birthyear]]</f>
        <v>71</v>
      </c>
      <c r="L320" t="s">
        <v>1290</v>
      </c>
      <c r="M320" t="s">
        <v>1290</v>
      </c>
      <c r="N320" t="s">
        <v>1291</v>
      </c>
      <c r="S320" t="s">
        <v>1603</v>
      </c>
      <c r="T320" t="str">
        <f>CONCATENATE(Table1[[#This Row],[Name]]," ",Table1[[#This Row],[Surname/Studio Name/Artistic Name]])</f>
        <v>Claudia Hart</v>
      </c>
    </row>
    <row r="321" spans="1:20" x14ac:dyDescent="0.35">
      <c r="A321">
        <v>320</v>
      </c>
      <c r="B321" t="s">
        <v>616</v>
      </c>
      <c r="C321" t="s">
        <v>617</v>
      </c>
      <c r="D321" t="s">
        <v>1892</v>
      </c>
      <c r="E321" t="s">
        <v>1916</v>
      </c>
      <c r="F321" t="s">
        <v>20</v>
      </c>
      <c r="G321" t="s">
        <v>1916</v>
      </c>
      <c r="H321" t="s">
        <v>21</v>
      </c>
      <c r="J321">
        <v>1966</v>
      </c>
      <c r="K321">
        <f>2026-Table1[[#This Row],[Birthyear]]</f>
        <v>60</v>
      </c>
      <c r="L321" t="s">
        <v>1290</v>
      </c>
      <c r="M321" t="s">
        <v>1290</v>
      </c>
      <c r="N321" t="s">
        <v>1291</v>
      </c>
      <c r="S321" t="s">
        <v>1452</v>
      </c>
      <c r="T321" t="str">
        <f>CONCATENATE(Table1[[#This Row],[Name]]," ",Table1[[#This Row],[Surname/Studio Name/Artistic Name]])</f>
        <v>Graciela Hasper</v>
      </c>
    </row>
    <row r="322" spans="1:20" x14ac:dyDescent="0.35">
      <c r="A322">
        <v>321</v>
      </c>
      <c r="B322" t="s">
        <v>618</v>
      </c>
      <c r="C322" t="s">
        <v>619</v>
      </c>
      <c r="D322" t="s">
        <v>1892</v>
      </c>
      <c r="E322" t="s">
        <v>1916</v>
      </c>
      <c r="F322" t="s">
        <v>25</v>
      </c>
      <c r="G322" t="s">
        <v>1916</v>
      </c>
      <c r="H322" t="s">
        <v>26</v>
      </c>
      <c r="J322">
        <v>1947</v>
      </c>
      <c r="K322">
        <f>2026-Table1[[#This Row],[Birthyear]]</f>
        <v>79</v>
      </c>
      <c r="L322" t="s">
        <v>1293</v>
      </c>
      <c r="M322" t="s">
        <v>1293</v>
      </c>
      <c r="N322" t="s">
        <v>1294</v>
      </c>
      <c r="T322" t="str">
        <f>CONCATENATE(Table1[[#This Row],[Name]]," ",Table1[[#This Row],[Surname/Studio Name/Artistic Name]])</f>
        <v>Kameel Hawa</v>
      </c>
    </row>
    <row r="323" spans="1:20" x14ac:dyDescent="0.35">
      <c r="A323">
        <v>322</v>
      </c>
      <c r="B323" t="s">
        <v>620</v>
      </c>
      <c r="C323" t="s">
        <v>621</v>
      </c>
      <c r="D323" t="s">
        <v>1892</v>
      </c>
      <c r="E323" t="s">
        <v>1916</v>
      </c>
      <c r="F323" t="s">
        <v>20</v>
      </c>
      <c r="G323" t="s">
        <v>1916</v>
      </c>
      <c r="H323" t="s">
        <v>21</v>
      </c>
      <c r="I323" t="s">
        <v>22</v>
      </c>
      <c r="J323">
        <v>1992</v>
      </c>
      <c r="K323">
        <f>2026-Table1[[#This Row],[Birthyear]]</f>
        <v>34</v>
      </c>
      <c r="L323" t="s">
        <v>1900</v>
      </c>
      <c r="M323" t="s">
        <v>1300</v>
      </c>
      <c r="N323" t="s">
        <v>1296</v>
      </c>
      <c r="O323" t="s">
        <v>1604</v>
      </c>
      <c r="P323">
        <v>2022</v>
      </c>
      <c r="Q323" t="s">
        <v>1302</v>
      </c>
      <c r="R323" t="s">
        <v>1382</v>
      </c>
      <c r="T323" t="str">
        <f>CONCATENATE(Table1[[#This Row],[Name]]," ",Table1[[#This Row],[Surname/Studio Name/Artistic Name]])</f>
        <v>Bashaer Hawsawi</v>
      </c>
    </row>
    <row r="324" spans="1:20" x14ac:dyDescent="0.35">
      <c r="A324">
        <v>323</v>
      </c>
      <c r="B324" t="s">
        <v>622</v>
      </c>
      <c r="C324" t="s">
        <v>623</v>
      </c>
      <c r="D324" t="s">
        <v>1892</v>
      </c>
      <c r="E324" t="s">
        <v>1916</v>
      </c>
      <c r="F324" t="s">
        <v>20</v>
      </c>
      <c r="G324" t="s">
        <v>1916</v>
      </c>
      <c r="H324" t="s">
        <v>21</v>
      </c>
      <c r="J324">
        <v>1988</v>
      </c>
      <c r="K324">
        <f>2026-Table1[[#This Row],[Birthyear]]</f>
        <v>38</v>
      </c>
      <c r="L324" t="s">
        <v>1290</v>
      </c>
      <c r="M324" t="s">
        <v>1290</v>
      </c>
      <c r="N324" t="s">
        <v>1291</v>
      </c>
      <c r="S324" t="s">
        <v>1565</v>
      </c>
      <c r="T324" t="str">
        <f>CONCATENATE(Table1[[#This Row],[Name]]," ",Table1[[#This Row],[Surname/Studio Name/Artistic Name]])</f>
        <v>Talin Hazbar</v>
      </c>
    </row>
    <row r="325" spans="1:20" x14ac:dyDescent="0.35">
      <c r="A325">
        <v>324</v>
      </c>
      <c r="B325" t="s">
        <v>624</v>
      </c>
      <c r="C325" t="s">
        <v>625</v>
      </c>
      <c r="D325" t="s">
        <v>1892</v>
      </c>
      <c r="E325" t="s">
        <v>1916</v>
      </c>
      <c r="F325" t="s">
        <v>20</v>
      </c>
      <c r="G325" t="s">
        <v>1916</v>
      </c>
      <c r="H325" t="s">
        <v>26</v>
      </c>
      <c r="J325">
        <v>1978</v>
      </c>
      <c r="K325">
        <f>2026-Table1[[#This Row],[Birthyear]]</f>
        <v>48</v>
      </c>
      <c r="L325" t="s">
        <v>1900</v>
      </c>
      <c r="M325" t="s">
        <v>1317</v>
      </c>
      <c r="N325" t="s">
        <v>1296</v>
      </c>
      <c r="O325" t="s">
        <v>1605</v>
      </c>
      <c r="P325">
        <v>2023</v>
      </c>
      <c r="Q325" t="s">
        <v>1298</v>
      </c>
      <c r="R325" t="s">
        <v>1355</v>
      </c>
      <c r="S325" t="s">
        <v>1341</v>
      </c>
      <c r="T325" t="str">
        <f>CONCATENATE(Table1[[#This Row],[Name]]," ",Table1[[#This Row],[Surname/Studio Name/Artistic Name]])</f>
        <v>Simon Heijdens​</v>
      </c>
    </row>
    <row r="326" spans="1:20" x14ac:dyDescent="0.35">
      <c r="A326">
        <v>325</v>
      </c>
      <c r="B326" t="s">
        <v>626</v>
      </c>
      <c r="C326" t="s">
        <v>627</v>
      </c>
      <c r="D326" t="s">
        <v>1892</v>
      </c>
      <c r="E326" t="s">
        <v>1916</v>
      </c>
      <c r="F326" t="s">
        <v>20</v>
      </c>
      <c r="G326" t="s">
        <v>1916</v>
      </c>
      <c r="H326" t="s">
        <v>26</v>
      </c>
      <c r="J326">
        <v>1974</v>
      </c>
      <c r="K326">
        <f>2026-Table1[[#This Row],[Birthyear]]</f>
        <v>52</v>
      </c>
      <c r="L326" t="s">
        <v>1900</v>
      </c>
      <c r="M326" t="s">
        <v>1317</v>
      </c>
      <c r="N326" t="s">
        <v>1296</v>
      </c>
      <c r="O326" t="s">
        <v>1606</v>
      </c>
      <c r="Q326" t="s">
        <v>1302</v>
      </c>
      <c r="R326" t="s">
        <v>1382</v>
      </c>
      <c r="S326" t="s">
        <v>1341</v>
      </c>
      <c r="T326" t="str">
        <f>CONCATENATE(Table1[[#This Row],[Name]]," ",Table1[[#This Row],[Surname/Studio Name/Artistic Name]])</f>
        <v>Jeppe Hein​</v>
      </c>
    </row>
    <row r="327" spans="1:20" x14ac:dyDescent="0.35">
      <c r="A327">
        <v>326</v>
      </c>
      <c r="B327" t="s">
        <v>628</v>
      </c>
      <c r="C327" t="s">
        <v>475</v>
      </c>
      <c r="D327" t="s">
        <v>1892</v>
      </c>
      <c r="E327" t="s">
        <v>1916</v>
      </c>
      <c r="F327" t="s">
        <v>25</v>
      </c>
      <c r="G327" t="s">
        <v>1916</v>
      </c>
      <c r="H327" t="s">
        <v>26</v>
      </c>
      <c r="J327">
        <v>1944</v>
      </c>
      <c r="K327">
        <f>2026-Table1[[#This Row],[Birthyear]]</f>
        <v>82</v>
      </c>
      <c r="L327" t="s">
        <v>1293</v>
      </c>
      <c r="M327" t="s">
        <v>1293</v>
      </c>
      <c r="N327" t="s">
        <v>1294</v>
      </c>
      <c r="T327" t="str">
        <f>CONCATENATE(Table1[[#This Row],[Name]]," ",Table1[[#This Row],[Surname/Studio Name/Artistic Name]])</f>
        <v>Michael Heizer</v>
      </c>
    </row>
    <row r="328" spans="1:20" x14ac:dyDescent="0.35">
      <c r="A328">
        <v>327</v>
      </c>
      <c r="B328" t="s">
        <v>629</v>
      </c>
      <c r="C328" t="s">
        <v>630</v>
      </c>
      <c r="D328" t="s">
        <v>1892</v>
      </c>
      <c r="E328" t="s">
        <v>1916</v>
      </c>
      <c r="F328" t="s">
        <v>20</v>
      </c>
      <c r="G328" t="s">
        <v>1916</v>
      </c>
      <c r="H328" t="s">
        <v>26</v>
      </c>
      <c r="I328" t="s">
        <v>22</v>
      </c>
      <c r="J328">
        <v>1949</v>
      </c>
      <c r="K328">
        <f>2026-Table1[[#This Row],[Birthyear]]</f>
        <v>77</v>
      </c>
      <c r="L328" t="s">
        <v>1290</v>
      </c>
      <c r="M328" t="s">
        <v>1290</v>
      </c>
      <c r="N328" t="s">
        <v>1291</v>
      </c>
      <c r="S328" t="s">
        <v>1565</v>
      </c>
      <c r="T328" t="str">
        <f>CONCATENATE(Table1[[#This Row],[Name]]," ",Table1[[#This Row],[Surname/Studio Name/Artistic Name]])</f>
        <v>Jan Hendrix</v>
      </c>
    </row>
    <row r="329" spans="1:20" x14ac:dyDescent="0.35">
      <c r="A329">
        <v>328</v>
      </c>
      <c r="B329" t="s">
        <v>631</v>
      </c>
      <c r="C329" t="s">
        <v>632</v>
      </c>
      <c r="D329" t="s">
        <v>1892</v>
      </c>
      <c r="E329" t="s">
        <v>1916</v>
      </c>
      <c r="F329" t="s">
        <v>25</v>
      </c>
      <c r="G329" t="s">
        <v>1916</v>
      </c>
      <c r="H329" t="s">
        <v>21</v>
      </c>
      <c r="J329">
        <v>1982</v>
      </c>
      <c r="K329">
        <f>2026-Table1[[#This Row],[Birthyear]]</f>
        <v>44</v>
      </c>
      <c r="L329" t="s">
        <v>1293</v>
      </c>
      <c r="M329" t="s">
        <v>1293</v>
      </c>
      <c r="N329" t="s">
        <v>1294</v>
      </c>
      <c r="T329" t="str">
        <f>CONCATENATE(Table1[[#This Row],[Name]]," ",Table1[[#This Row],[Surname/Studio Name/Artistic Name]])</f>
        <v>Lena Henke</v>
      </c>
    </row>
    <row r="330" spans="1:20" x14ac:dyDescent="0.35">
      <c r="A330">
        <v>329</v>
      </c>
      <c r="B330" t="s">
        <v>633</v>
      </c>
      <c r="C330" t="s">
        <v>634</v>
      </c>
      <c r="D330" t="s">
        <v>1892</v>
      </c>
      <c r="E330" t="s">
        <v>1916</v>
      </c>
      <c r="F330" t="s">
        <v>25</v>
      </c>
      <c r="G330" t="s">
        <v>1916</v>
      </c>
      <c r="H330" t="s">
        <v>21</v>
      </c>
      <c r="J330">
        <v>1978</v>
      </c>
      <c r="K330">
        <f>2026-Table1[[#This Row],[Birthyear]]</f>
        <v>48</v>
      </c>
      <c r="L330" t="s">
        <v>1293</v>
      </c>
      <c r="M330" t="s">
        <v>1293</v>
      </c>
      <c r="N330" t="s">
        <v>1309</v>
      </c>
      <c r="T330" t="str">
        <f>CONCATENATE(Table1[[#This Row],[Name]]," ",Table1[[#This Row],[Surname/Studio Name/Artistic Name]])</f>
        <v>Camille Henrot</v>
      </c>
    </row>
    <row r="331" spans="1:20" x14ac:dyDescent="0.35">
      <c r="A331">
        <v>330</v>
      </c>
      <c r="B331" t="s">
        <v>635</v>
      </c>
      <c r="C331" t="s">
        <v>636</v>
      </c>
      <c r="D331" t="s">
        <v>1892</v>
      </c>
      <c r="E331" t="s">
        <v>1916</v>
      </c>
      <c r="F331" t="s">
        <v>20</v>
      </c>
      <c r="G331" t="s">
        <v>1916</v>
      </c>
      <c r="H331" t="s">
        <v>26</v>
      </c>
      <c r="J331">
        <v>1960</v>
      </c>
      <c r="K331">
        <f>2026-Table1[[#This Row],[Birthyear]]</f>
        <v>66</v>
      </c>
      <c r="L331" t="s">
        <v>1900</v>
      </c>
      <c r="M331" t="s">
        <v>1295</v>
      </c>
      <c r="N331" t="s">
        <v>1296</v>
      </c>
      <c r="O331" t="s">
        <v>1607</v>
      </c>
      <c r="P331">
        <v>2025</v>
      </c>
      <c r="Q331" t="s">
        <v>1608</v>
      </c>
      <c r="R331" t="s">
        <v>1467</v>
      </c>
      <c r="T331" t="str">
        <f>CONCATENATE(Table1[[#This Row],[Name]]," ",Table1[[#This Row],[Surname/Studio Name/Artistic Name]])</f>
        <v>Kurt Hentschläger</v>
      </c>
    </row>
    <row r="332" spans="1:20" x14ac:dyDescent="0.35">
      <c r="A332">
        <v>331</v>
      </c>
      <c r="B332" t="s">
        <v>637</v>
      </c>
      <c r="C332" t="s">
        <v>638</v>
      </c>
      <c r="D332" t="s">
        <v>1892</v>
      </c>
      <c r="E332" t="s">
        <v>1916</v>
      </c>
      <c r="F332" t="s">
        <v>25</v>
      </c>
      <c r="G332" t="s">
        <v>1916</v>
      </c>
      <c r="H332" t="s">
        <v>26</v>
      </c>
      <c r="J332">
        <v>1974</v>
      </c>
      <c r="K332">
        <f>2026-Table1[[#This Row],[Birthyear]]</f>
        <v>52</v>
      </c>
      <c r="L332" t="s">
        <v>1900</v>
      </c>
      <c r="M332" t="s">
        <v>1317</v>
      </c>
      <c r="N332" t="s">
        <v>1296</v>
      </c>
      <c r="O332" t="s">
        <v>1609</v>
      </c>
      <c r="P332">
        <v>2023</v>
      </c>
      <c r="Q332" t="s">
        <v>1298</v>
      </c>
      <c r="R332" t="s">
        <v>1312</v>
      </c>
      <c r="S332" t="s">
        <v>1341</v>
      </c>
      <c r="T332" t="str">
        <f>CONCATENATE(Table1[[#This Row],[Name]]," ",Table1[[#This Row],[Surname/Studio Name/Artistic Name]])</f>
        <v>Gregor Hildebrandt​</v>
      </c>
    </row>
    <row r="333" spans="1:20" x14ac:dyDescent="0.35">
      <c r="A333">
        <v>332</v>
      </c>
      <c r="B333" t="s">
        <v>639</v>
      </c>
      <c r="C333" t="s">
        <v>488</v>
      </c>
      <c r="D333" t="s">
        <v>1892</v>
      </c>
      <c r="E333" t="s">
        <v>1916</v>
      </c>
      <c r="F333" t="s">
        <v>25</v>
      </c>
      <c r="G333" t="s">
        <v>1916</v>
      </c>
      <c r="H333" t="s">
        <v>26</v>
      </c>
      <c r="J333">
        <v>1946</v>
      </c>
      <c r="K333">
        <f>2026-Table1[[#This Row],[Birthyear]]</f>
        <v>80</v>
      </c>
      <c r="L333" t="s">
        <v>1293</v>
      </c>
      <c r="M333" t="s">
        <v>1293</v>
      </c>
      <c r="N333" t="s">
        <v>1294</v>
      </c>
      <c r="T333" t="str">
        <f>CONCATENATE(Table1[[#This Row],[Name]]," ",Table1[[#This Row],[Surname/Studio Name/Artistic Name]])</f>
        <v>John Himmelfarb</v>
      </c>
    </row>
    <row r="334" spans="1:20" x14ac:dyDescent="0.35">
      <c r="A334">
        <v>333</v>
      </c>
      <c r="B334" t="s">
        <v>640</v>
      </c>
      <c r="C334" t="s">
        <v>641</v>
      </c>
      <c r="D334" t="s">
        <v>1892</v>
      </c>
      <c r="E334" t="s">
        <v>1916</v>
      </c>
      <c r="F334" t="s">
        <v>20</v>
      </c>
      <c r="G334" t="s">
        <v>1916</v>
      </c>
      <c r="H334" t="s">
        <v>26</v>
      </c>
      <c r="J334">
        <v>1971</v>
      </c>
      <c r="K334">
        <f>2026-Table1[[#This Row],[Birthyear]]</f>
        <v>55</v>
      </c>
      <c r="L334" t="s">
        <v>1914</v>
      </c>
      <c r="M334" t="s">
        <v>1326</v>
      </c>
      <c r="N334" t="s">
        <v>1296</v>
      </c>
      <c r="O334" t="s">
        <v>1610</v>
      </c>
      <c r="P334">
        <v>2023</v>
      </c>
      <c r="Q334" t="s">
        <v>1344</v>
      </c>
      <c r="T334" t="str">
        <f>CONCATENATE(Table1[[#This Row],[Name]]," ",Table1[[#This Row],[Surname/Studio Name/Artistic Name]])</f>
        <v>Roland Hoeft</v>
      </c>
    </row>
    <row r="335" spans="1:20" x14ac:dyDescent="0.35">
      <c r="A335">
        <v>334</v>
      </c>
      <c r="B335" t="s">
        <v>642</v>
      </c>
      <c r="C335" t="s">
        <v>643</v>
      </c>
      <c r="D335" t="s">
        <v>1892</v>
      </c>
      <c r="E335" t="s">
        <v>1916</v>
      </c>
      <c r="F335" t="s">
        <v>20</v>
      </c>
      <c r="G335" t="s">
        <v>1916</v>
      </c>
      <c r="H335" t="s">
        <v>26</v>
      </c>
      <c r="I335" t="s">
        <v>22</v>
      </c>
      <c r="J335">
        <v>1977</v>
      </c>
      <c r="K335">
        <f>2026-Table1[[#This Row],[Birthyear]]</f>
        <v>49</v>
      </c>
      <c r="L335" t="s">
        <v>1315</v>
      </c>
      <c r="M335" t="s">
        <v>1315</v>
      </c>
      <c r="N335" t="s">
        <v>1291</v>
      </c>
      <c r="S335" t="s">
        <v>1470</v>
      </c>
      <c r="T335" t="str">
        <f>CONCATENATE(Table1[[#This Row],[Name]]," ",Table1[[#This Row],[Surname/Studio Name/Artistic Name]])</f>
        <v>Florentijn Hofman</v>
      </c>
    </row>
    <row r="336" spans="1:20" x14ac:dyDescent="0.35">
      <c r="A336">
        <v>335</v>
      </c>
      <c r="B336" t="s">
        <v>644</v>
      </c>
      <c r="C336" t="s">
        <v>645</v>
      </c>
      <c r="D336" t="s">
        <v>1892</v>
      </c>
      <c r="E336" t="s">
        <v>1916</v>
      </c>
      <c r="F336" t="s">
        <v>20</v>
      </c>
      <c r="G336" t="s">
        <v>1916</v>
      </c>
      <c r="H336" t="s">
        <v>21</v>
      </c>
      <c r="J336">
        <v>1986</v>
      </c>
      <c r="K336">
        <f>2026-Table1[[#This Row],[Birthyear]]</f>
        <v>40</v>
      </c>
      <c r="L336" t="s">
        <v>1900</v>
      </c>
      <c r="M336" t="s">
        <v>1317</v>
      </c>
      <c r="N336" t="s">
        <v>1296</v>
      </c>
      <c r="O336" t="s">
        <v>1611</v>
      </c>
      <c r="P336">
        <v>2021</v>
      </c>
      <c r="Q336" t="s">
        <v>1298</v>
      </c>
      <c r="R336" t="s">
        <v>1312</v>
      </c>
      <c r="S336" t="s">
        <v>1320</v>
      </c>
      <c r="T336" t="str">
        <f>CONCATENATE(Table1[[#This Row],[Name]]," ",Table1[[#This Row],[Surname/Studio Name/Artistic Name]])</f>
        <v>Madeline Hollander</v>
      </c>
    </row>
    <row r="337" spans="1:20" x14ac:dyDescent="0.35">
      <c r="A337">
        <v>336</v>
      </c>
      <c r="B337" t="s">
        <v>646</v>
      </c>
      <c r="C337" t="s">
        <v>647</v>
      </c>
      <c r="D337" t="s">
        <v>1892</v>
      </c>
      <c r="E337" t="s">
        <v>1916</v>
      </c>
      <c r="F337" t="s">
        <v>20</v>
      </c>
      <c r="G337" t="s">
        <v>1916</v>
      </c>
      <c r="H337" t="s">
        <v>26</v>
      </c>
      <c r="I337" t="s">
        <v>22</v>
      </c>
      <c r="J337">
        <v>1961</v>
      </c>
      <c r="K337">
        <f>2026-Table1[[#This Row],[Birthyear]]</f>
        <v>65</v>
      </c>
      <c r="L337" t="s">
        <v>1900</v>
      </c>
      <c r="M337" t="s">
        <v>1310</v>
      </c>
      <c r="N337" t="s">
        <v>1296</v>
      </c>
      <c r="O337" t="s">
        <v>1612</v>
      </c>
      <c r="P337">
        <v>2021</v>
      </c>
      <c r="Q337" t="s">
        <v>1302</v>
      </c>
      <c r="R337" t="s">
        <v>1299</v>
      </c>
      <c r="T337" t="str">
        <f>CONCATENATE(Table1[[#This Row],[Name]]," ",Table1[[#This Row],[Surname/Studio Name/Artistic Name]])</f>
        <v>Carsten Höller</v>
      </c>
    </row>
    <row r="338" spans="1:20" x14ac:dyDescent="0.35">
      <c r="A338">
        <v>337</v>
      </c>
      <c r="B338" t="s">
        <v>648</v>
      </c>
      <c r="C338" t="s">
        <v>649</v>
      </c>
      <c r="D338" t="s">
        <v>1892</v>
      </c>
      <c r="E338" t="s">
        <v>1916</v>
      </c>
      <c r="F338" t="s">
        <v>25</v>
      </c>
      <c r="G338" t="s">
        <v>1916</v>
      </c>
      <c r="H338" t="s">
        <v>26</v>
      </c>
      <c r="J338">
        <v>1982</v>
      </c>
      <c r="K338">
        <f>2026-Table1[[#This Row],[Birthyear]]</f>
        <v>44</v>
      </c>
      <c r="L338" t="s">
        <v>1900</v>
      </c>
      <c r="M338" t="s">
        <v>1317</v>
      </c>
      <c r="N338" t="s">
        <v>1296</v>
      </c>
      <c r="O338" t="s">
        <v>1613</v>
      </c>
      <c r="P338">
        <v>2023</v>
      </c>
      <c r="Q338" t="s">
        <v>1302</v>
      </c>
      <c r="R338" t="s">
        <v>1312</v>
      </c>
      <c r="S338" t="s">
        <v>1341</v>
      </c>
      <c r="T338" t="str">
        <f>CONCATENATE(Table1[[#This Row],[Name]]," ",Table1[[#This Row],[Surname/Studio Name/Artistic Name]])</f>
        <v>Max Hooper Schneider​</v>
      </c>
    </row>
    <row r="339" spans="1:20" x14ac:dyDescent="0.35">
      <c r="A339">
        <v>338</v>
      </c>
      <c r="B339" t="s">
        <v>650</v>
      </c>
      <c r="C339" t="s">
        <v>613</v>
      </c>
      <c r="D339" t="s">
        <v>1892</v>
      </c>
      <c r="E339" t="s">
        <v>1916</v>
      </c>
      <c r="F339" t="s">
        <v>25</v>
      </c>
      <c r="G339" t="s">
        <v>1916</v>
      </c>
      <c r="H339" t="s">
        <v>26</v>
      </c>
      <c r="J339">
        <v>1972</v>
      </c>
      <c r="K339">
        <f>2026-Table1[[#This Row],[Birthyear]]</f>
        <v>54</v>
      </c>
      <c r="L339" t="s">
        <v>1293</v>
      </c>
      <c r="M339" t="s">
        <v>1293</v>
      </c>
      <c r="N339" t="s">
        <v>1309</v>
      </c>
      <c r="T339" t="str">
        <f>CONCATENATE(Table1[[#This Row],[Name]]," ",Table1[[#This Row],[Surname/Studio Name/Artistic Name]])</f>
        <v>Thomas Houseago</v>
      </c>
    </row>
    <row r="340" spans="1:20" x14ac:dyDescent="0.35">
      <c r="A340">
        <v>339</v>
      </c>
      <c r="B340" t="s">
        <v>651</v>
      </c>
      <c r="C340" t="s">
        <v>652</v>
      </c>
      <c r="D340" t="s">
        <v>1892</v>
      </c>
      <c r="E340" t="s">
        <v>1916</v>
      </c>
      <c r="F340" t="s">
        <v>20</v>
      </c>
      <c r="G340" t="s">
        <v>1916</v>
      </c>
      <c r="H340" t="s">
        <v>21</v>
      </c>
      <c r="J340">
        <v>1955</v>
      </c>
      <c r="K340">
        <f>2026-Table1[[#This Row],[Birthyear]]</f>
        <v>71</v>
      </c>
      <c r="L340" t="s">
        <v>1290</v>
      </c>
      <c r="M340" t="s">
        <v>1290</v>
      </c>
      <c r="N340" t="s">
        <v>1294</v>
      </c>
      <c r="S340" t="s">
        <v>1614</v>
      </c>
      <c r="T340" t="str">
        <f>CONCATENATE(Table1[[#This Row],[Name]]," ",Table1[[#This Row],[Surname/Studio Name/Artistic Name]])</f>
        <v>Shirazeh Houshiary</v>
      </c>
    </row>
    <row r="341" spans="1:20" x14ac:dyDescent="0.35">
      <c r="A341">
        <v>340</v>
      </c>
      <c r="B341" t="s">
        <v>653</v>
      </c>
      <c r="C341" t="s">
        <v>654</v>
      </c>
      <c r="D341" t="s">
        <v>1892</v>
      </c>
      <c r="E341" t="s">
        <v>1916</v>
      </c>
      <c r="F341" t="s">
        <v>20</v>
      </c>
      <c r="G341" t="s">
        <v>1916</v>
      </c>
      <c r="H341" t="s">
        <v>26</v>
      </c>
      <c r="J341">
        <v>1970</v>
      </c>
      <c r="K341">
        <f>2026-Table1[[#This Row],[Birthyear]]</f>
        <v>56</v>
      </c>
      <c r="L341" t="s">
        <v>1914</v>
      </c>
      <c r="M341" t="s">
        <v>1425</v>
      </c>
      <c r="N341" t="s">
        <v>1296</v>
      </c>
      <c r="P341">
        <v>2019</v>
      </c>
      <c r="Q341" t="s">
        <v>1344</v>
      </c>
      <c r="T341" t="str">
        <f>CONCATENATE(Table1[[#This Row],[Name]]," ",Table1[[#This Row],[Surname/Studio Name/Artistic Name]])</f>
        <v>Klaus F. Hunsicker</v>
      </c>
    </row>
    <row r="342" spans="1:20" x14ac:dyDescent="0.35">
      <c r="A342">
        <v>341</v>
      </c>
      <c r="B342" t="s">
        <v>655</v>
      </c>
      <c r="C342" t="s">
        <v>656</v>
      </c>
      <c r="D342" t="s">
        <v>1892</v>
      </c>
      <c r="E342" t="s">
        <v>1916</v>
      </c>
      <c r="F342" t="s">
        <v>20</v>
      </c>
      <c r="G342" t="s">
        <v>1916</v>
      </c>
      <c r="H342" t="s">
        <v>26</v>
      </c>
      <c r="I342" t="s">
        <v>22</v>
      </c>
      <c r="J342">
        <v>1969</v>
      </c>
      <c r="K342">
        <f>2026-Table1[[#This Row],[Birthyear]]</f>
        <v>57</v>
      </c>
      <c r="L342" t="s">
        <v>1290</v>
      </c>
      <c r="M342" t="s">
        <v>1290</v>
      </c>
      <c r="N342" t="s">
        <v>1291</v>
      </c>
      <c r="S342" t="s">
        <v>1422</v>
      </c>
      <c r="T342" t="str">
        <f>CONCATENATE(Table1[[#This Row],[Name]]," ",Table1[[#This Row],[Surname/Studio Name/Artistic Name]])</f>
        <v>Jonty Hurwitz</v>
      </c>
    </row>
    <row r="343" spans="1:20" x14ac:dyDescent="0.35">
      <c r="A343">
        <v>342</v>
      </c>
      <c r="B343" t="s">
        <v>657</v>
      </c>
      <c r="C343" t="s">
        <v>658</v>
      </c>
      <c r="D343" t="s">
        <v>1892</v>
      </c>
      <c r="E343" t="s">
        <v>1916</v>
      </c>
      <c r="F343" t="s">
        <v>20</v>
      </c>
      <c r="G343" t="s">
        <v>1916</v>
      </c>
      <c r="H343" t="s">
        <v>21</v>
      </c>
      <c r="J343">
        <v>1980</v>
      </c>
      <c r="K343">
        <f>2026-Table1[[#This Row],[Birthyear]]</f>
        <v>46</v>
      </c>
      <c r="L343" t="s">
        <v>1900</v>
      </c>
      <c r="M343" t="s">
        <v>1300</v>
      </c>
      <c r="N343" t="s">
        <v>1296</v>
      </c>
      <c r="O343" t="s">
        <v>1615</v>
      </c>
      <c r="P343">
        <v>2022</v>
      </c>
      <c r="Q343" t="s">
        <v>1350</v>
      </c>
      <c r="R343" t="s">
        <v>1312</v>
      </c>
      <c r="S343" t="s">
        <v>1399</v>
      </c>
      <c r="T343" t="str">
        <f>CONCATENATE(Table1[[#This Row],[Name]]," ",Table1[[#This Row],[Surname/Studio Name/Artistic Name]])</f>
        <v>Zarah Hussain</v>
      </c>
    </row>
    <row r="344" spans="1:20" x14ac:dyDescent="0.35">
      <c r="A344">
        <v>343</v>
      </c>
      <c r="B344" t="s">
        <v>659</v>
      </c>
      <c r="C344" t="s">
        <v>660</v>
      </c>
      <c r="D344" t="s">
        <v>1892</v>
      </c>
      <c r="E344" t="s">
        <v>1916</v>
      </c>
      <c r="F344" t="s">
        <v>20</v>
      </c>
      <c r="G344" t="s">
        <v>1916</v>
      </c>
      <c r="H344" t="s">
        <v>26</v>
      </c>
      <c r="J344">
        <v>1960</v>
      </c>
      <c r="K344">
        <f>2026-Table1[[#This Row],[Birthyear]]</f>
        <v>66</v>
      </c>
      <c r="L344" t="s">
        <v>1914</v>
      </c>
      <c r="M344" t="s">
        <v>1342</v>
      </c>
      <c r="N344" t="s">
        <v>1296</v>
      </c>
      <c r="O344" t="s">
        <v>1616</v>
      </c>
      <c r="P344">
        <v>2025</v>
      </c>
      <c r="Q344" t="s">
        <v>1344</v>
      </c>
      <c r="T344" t="str">
        <f>CONCATENATE(Table1[[#This Row],[Name]]," ",Table1[[#This Row],[Surname/Studio Name/Artistic Name]])</f>
        <v>Seungwoo Hwang</v>
      </c>
    </row>
    <row r="345" spans="1:20" x14ac:dyDescent="0.35">
      <c r="A345">
        <v>344</v>
      </c>
      <c r="B345" t="s">
        <v>499</v>
      </c>
      <c r="C345" t="s">
        <v>661</v>
      </c>
      <c r="D345" t="s">
        <v>1892</v>
      </c>
      <c r="E345" t="s">
        <v>1916</v>
      </c>
      <c r="F345" t="s">
        <v>25</v>
      </c>
      <c r="G345" t="s">
        <v>1916</v>
      </c>
      <c r="H345" t="s">
        <v>26</v>
      </c>
      <c r="J345">
        <v>1962</v>
      </c>
      <c r="K345">
        <f>2026-Table1[[#This Row],[Birthyear]]</f>
        <v>64</v>
      </c>
      <c r="L345" t="s">
        <v>1293</v>
      </c>
      <c r="M345" t="s">
        <v>1293</v>
      </c>
      <c r="N345" t="s">
        <v>1294</v>
      </c>
      <c r="T345" t="str">
        <f>CONCATENATE(Table1[[#This Row],[Name]]," ",Table1[[#This Row],[Surname/Studio Name/Artistic Name]])</f>
        <v>Mohammed Ahmed Ibrahim</v>
      </c>
    </row>
    <row r="346" spans="1:20" x14ac:dyDescent="0.35">
      <c r="A346">
        <v>345</v>
      </c>
      <c r="B346" t="s">
        <v>662</v>
      </c>
      <c r="C346" t="s">
        <v>663</v>
      </c>
      <c r="D346" t="s">
        <v>216</v>
      </c>
      <c r="E346" t="s">
        <v>1916</v>
      </c>
      <c r="F346" t="s">
        <v>25</v>
      </c>
      <c r="G346" t="s">
        <v>1916</v>
      </c>
      <c r="H346" t="s">
        <v>26</v>
      </c>
      <c r="I346" t="s">
        <v>22</v>
      </c>
      <c r="J346">
        <v>1966</v>
      </c>
      <c r="K346">
        <f>2026-Table1[[#This Row],[Birthyear]]</f>
        <v>60</v>
      </c>
      <c r="L346" t="s">
        <v>1293</v>
      </c>
      <c r="M346" t="s">
        <v>1293</v>
      </c>
      <c r="N346" t="s">
        <v>1296</v>
      </c>
      <c r="O346" t="s">
        <v>1617</v>
      </c>
      <c r="Q346" t="s">
        <v>1371</v>
      </c>
      <c r="R346" t="s">
        <v>1618</v>
      </c>
      <c r="S346" t="s">
        <v>1436</v>
      </c>
      <c r="T346" t="str">
        <f>CONCATENATE(Table1[[#This Row],[Name]]," ",Table1[[#This Row],[Surname/Studio Name/Artistic Name]])</f>
        <v>Ryoji Ikeda</v>
      </c>
    </row>
    <row r="347" spans="1:20" x14ac:dyDescent="0.35">
      <c r="A347">
        <v>346</v>
      </c>
      <c r="B347" t="s">
        <v>664</v>
      </c>
      <c r="C347" t="s">
        <v>328</v>
      </c>
      <c r="D347" t="s">
        <v>209</v>
      </c>
      <c r="E347" t="s">
        <v>1916</v>
      </c>
      <c r="F347" t="s">
        <v>20</v>
      </c>
      <c r="G347" t="s">
        <v>1916</v>
      </c>
      <c r="H347" t="s">
        <v>26</v>
      </c>
      <c r="J347">
        <v>1953</v>
      </c>
      <c r="K347">
        <f>2026-Table1[[#This Row],[Birthyear]]</f>
        <v>73</v>
      </c>
      <c r="L347" t="s">
        <v>1914</v>
      </c>
      <c r="M347" t="s">
        <v>1396</v>
      </c>
      <c r="N347" t="s">
        <v>1296</v>
      </c>
      <c r="O347" t="s">
        <v>1619</v>
      </c>
      <c r="P347">
        <v>2020</v>
      </c>
      <c r="Q347" t="s">
        <v>1344</v>
      </c>
      <c r="T347" t="str">
        <f>CONCATENATE(Table1[[#This Row],[Name]]," ",Table1[[#This Row],[Surname/Studio Name/Artistic Name]])</f>
        <v>Miguel Isla</v>
      </c>
    </row>
    <row r="348" spans="1:20" x14ac:dyDescent="0.35">
      <c r="A348">
        <v>347</v>
      </c>
      <c r="B348" t="s">
        <v>665</v>
      </c>
      <c r="C348" t="s">
        <v>666</v>
      </c>
      <c r="D348" t="s">
        <v>216</v>
      </c>
      <c r="E348" t="s">
        <v>1916</v>
      </c>
      <c r="F348" t="s">
        <v>20</v>
      </c>
      <c r="G348" t="s">
        <v>1916</v>
      </c>
      <c r="H348" t="s">
        <v>26</v>
      </c>
      <c r="J348">
        <v>1961</v>
      </c>
      <c r="K348">
        <f>2026-Table1[[#This Row],[Birthyear]]</f>
        <v>65</v>
      </c>
      <c r="L348" t="s">
        <v>1900</v>
      </c>
      <c r="M348" t="s">
        <v>1295</v>
      </c>
      <c r="N348" t="s">
        <v>1296</v>
      </c>
      <c r="O348" t="s">
        <v>1620</v>
      </c>
      <c r="P348">
        <v>2023</v>
      </c>
      <c r="Q348" t="s">
        <v>1621</v>
      </c>
      <c r="R348" t="s">
        <v>1467</v>
      </c>
      <c r="T348" t="str">
        <f>CONCATENATE(Table1[[#This Row],[Name]]," ",Table1[[#This Row],[Surname/Studio Name/Artistic Name]])</f>
        <v>Shun Ito</v>
      </c>
    </row>
    <row r="349" spans="1:20" x14ac:dyDescent="0.35">
      <c r="A349">
        <v>348</v>
      </c>
      <c r="B349" t="s">
        <v>667</v>
      </c>
      <c r="C349" t="s">
        <v>668</v>
      </c>
      <c r="D349" t="s">
        <v>1896</v>
      </c>
      <c r="E349" t="s">
        <v>1916</v>
      </c>
      <c r="F349" t="s">
        <v>25</v>
      </c>
      <c r="G349" t="s">
        <v>1916</v>
      </c>
      <c r="H349" t="s">
        <v>21</v>
      </c>
      <c r="J349">
        <v>1975</v>
      </c>
      <c r="K349">
        <f>2026-Table1[[#This Row],[Birthyear]]</f>
        <v>51</v>
      </c>
      <c r="L349" t="s">
        <v>1290</v>
      </c>
      <c r="M349" t="s">
        <v>1290</v>
      </c>
      <c r="N349" t="s">
        <v>1291</v>
      </c>
      <c r="S349" t="s">
        <v>1603</v>
      </c>
      <c r="T349" t="str">
        <f>CONCATENATE(Table1[[#This Row],[Name]]," ",Table1[[#This Row],[Surname/Studio Name/Artistic Name]])</f>
        <v>Natacha Ivanova</v>
      </c>
    </row>
    <row r="350" spans="1:20" x14ac:dyDescent="0.35">
      <c r="A350">
        <v>349</v>
      </c>
      <c r="B350" t="s">
        <v>669</v>
      </c>
      <c r="D350" t="s">
        <v>1898</v>
      </c>
      <c r="E350" t="s">
        <v>1916</v>
      </c>
      <c r="F350" t="s">
        <v>20</v>
      </c>
      <c r="G350" t="s">
        <v>1916</v>
      </c>
      <c r="H350" t="s">
        <v>26</v>
      </c>
      <c r="I350" t="s">
        <v>22</v>
      </c>
      <c r="J350">
        <v>1973</v>
      </c>
      <c r="K350">
        <f>2026-Table1[[#This Row],[Birthyear]]</f>
        <v>53</v>
      </c>
      <c r="L350" t="s">
        <v>1290</v>
      </c>
      <c r="M350" t="s">
        <v>1290</v>
      </c>
      <c r="N350" t="s">
        <v>1291</v>
      </c>
      <c r="S350" t="s">
        <v>1359</v>
      </c>
      <c r="T350" t="str">
        <f>CONCATENATE(Table1[[#This Row],[Name]]," ",Table1[[#This Row],[Surname/Studio Name/Artistic Name]])</f>
        <v xml:space="preserve"> Jace</v>
      </c>
    </row>
    <row r="351" spans="1:20" x14ac:dyDescent="0.35">
      <c r="A351">
        <v>350</v>
      </c>
      <c r="B351" t="s">
        <v>670</v>
      </c>
      <c r="C351" t="s">
        <v>671</v>
      </c>
      <c r="D351" t="s">
        <v>29</v>
      </c>
      <c r="E351" t="s">
        <v>1916</v>
      </c>
      <c r="F351" t="s">
        <v>20</v>
      </c>
      <c r="G351" t="s">
        <v>1916</v>
      </c>
      <c r="H351" t="s">
        <v>26</v>
      </c>
      <c r="J351">
        <v>1992</v>
      </c>
      <c r="K351">
        <f>2026-Table1[[#This Row],[Birthyear]]</f>
        <v>34</v>
      </c>
      <c r="L351" t="s">
        <v>1900</v>
      </c>
      <c r="M351" t="s">
        <v>1317</v>
      </c>
      <c r="N351" t="s">
        <v>1296</v>
      </c>
      <c r="O351" t="s">
        <v>1622</v>
      </c>
      <c r="P351">
        <v>2023</v>
      </c>
      <c r="Q351" t="s">
        <v>1350</v>
      </c>
      <c r="R351" t="s">
        <v>1340</v>
      </c>
      <c r="S351" t="s">
        <v>1341</v>
      </c>
      <c r="T351" t="str">
        <f>CONCATENATE(Table1[[#This Row],[Name]]," ",Table1[[#This Row],[Surname/Studio Name/Artistic Name]])</f>
        <v>Aziz Jamal​</v>
      </c>
    </row>
    <row r="352" spans="1:20" x14ac:dyDescent="0.35">
      <c r="A352">
        <v>351</v>
      </c>
      <c r="B352" t="s">
        <v>672</v>
      </c>
      <c r="C352" t="s">
        <v>673</v>
      </c>
      <c r="D352" t="s">
        <v>29</v>
      </c>
      <c r="E352" t="s">
        <v>1916</v>
      </c>
      <c r="F352" t="s">
        <v>25</v>
      </c>
      <c r="G352" t="s">
        <v>1916</v>
      </c>
      <c r="H352" t="s">
        <v>26</v>
      </c>
      <c r="J352">
        <v>1966</v>
      </c>
      <c r="K352">
        <f>2026-Table1[[#This Row],[Birthyear]]</f>
        <v>60</v>
      </c>
      <c r="L352" t="s">
        <v>1914</v>
      </c>
      <c r="M352" t="s">
        <v>1623</v>
      </c>
      <c r="N352" t="s">
        <v>1296</v>
      </c>
      <c r="O352" t="s">
        <v>1624</v>
      </c>
      <c r="P352">
        <v>2020</v>
      </c>
      <c r="Q352" t="s">
        <v>1344</v>
      </c>
      <c r="T352" t="str">
        <f>CONCATENATE(Table1[[#This Row],[Name]]," ",Table1[[#This Row],[Surname/Studio Name/Artistic Name]])</f>
        <v>Essam Jameel</v>
      </c>
    </row>
    <row r="353" spans="1:20" x14ac:dyDescent="0.35">
      <c r="A353">
        <v>352</v>
      </c>
      <c r="B353" t="s">
        <v>674</v>
      </c>
      <c r="C353" t="s">
        <v>675</v>
      </c>
      <c r="D353" t="s">
        <v>29</v>
      </c>
      <c r="E353" t="s">
        <v>1916</v>
      </c>
      <c r="F353" t="s">
        <v>25</v>
      </c>
      <c r="G353" t="s">
        <v>1916</v>
      </c>
      <c r="H353" t="s">
        <v>26</v>
      </c>
      <c r="I353" t="s">
        <v>22</v>
      </c>
      <c r="J353">
        <v>1971</v>
      </c>
      <c r="K353">
        <f>2026-Table1[[#This Row],[Birthyear]]</f>
        <v>55</v>
      </c>
      <c r="L353" t="s">
        <v>1588</v>
      </c>
      <c r="M353" t="s">
        <v>1588</v>
      </c>
      <c r="N353" t="s">
        <v>1296</v>
      </c>
      <c r="O353" t="s">
        <v>1625</v>
      </c>
      <c r="P353">
        <v>2021</v>
      </c>
      <c r="Q353" t="s">
        <v>1348</v>
      </c>
      <c r="R353" t="s">
        <v>1626</v>
      </c>
      <c r="S353" t="s">
        <v>1627</v>
      </c>
      <c r="T353" t="str">
        <f>CONCATENATE(Table1[[#This Row],[Name]]," ",Table1[[#This Row],[Surname/Studio Name/Artistic Name]])</f>
        <v>Zaman Jassim</v>
      </c>
    </row>
    <row r="354" spans="1:20" x14ac:dyDescent="0.35">
      <c r="A354">
        <v>353</v>
      </c>
      <c r="B354" t="s">
        <v>676</v>
      </c>
      <c r="C354" t="s">
        <v>677</v>
      </c>
      <c r="D354" t="s">
        <v>47</v>
      </c>
      <c r="E354" t="s">
        <v>1916</v>
      </c>
      <c r="F354" t="s">
        <v>20</v>
      </c>
      <c r="G354" t="s">
        <v>1916</v>
      </c>
      <c r="H354" t="s">
        <v>26</v>
      </c>
      <c r="J354">
        <v>1962</v>
      </c>
      <c r="K354">
        <f>2026-Table1[[#This Row],[Birthyear]]</f>
        <v>64</v>
      </c>
      <c r="L354" t="s">
        <v>1900</v>
      </c>
      <c r="M354" t="s">
        <v>1300</v>
      </c>
      <c r="N354" t="s">
        <v>1296</v>
      </c>
      <c r="O354" t="s">
        <v>1628</v>
      </c>
      <c r="P354">
        <v>2022</v>
      </c>
      <c r="Q354" t="s">
        <v>1334</v>
      </c>
      <c r="R354" t="s">
        <v>1312</v>
      </c>
      <c r="S354" t="s">
        <v>1399</v>
      </c>
      <c r="T354" t="str">
        <f>CONCATENATE(Table1[[#This Row],[Name]]," ",Table1[[#This Row],[Surname/Studio Name/Artistic Name]])</f>
        <v>Norma Jean</v>
      </c>
    </row>
    <row r="355" spans="1:20" x14ac:dyDescent="0.35">
      <c r="A355">
        <v>354</v>
      </c>
      <c r="B355" t="s">
        <v>678</v>
      </c>
      <c r="C355" t="s">
        <v>679</v>
      </c>
      <c r="D355" t="s">
        <v>1894</v>
      </c>
      <c r="E355" t="s">
        <v>1916</v>
      </c>
      <c r="F355" t="s">
        <v>20</v>
      </c>
      <c r="G355" t="s">
        <v>1916</v>
      </c>
      <c r="H355" t="s">
        <v>26</v>
      </c>
      <c r="I355" t="s">
        <v>22</v>
      </c>
      <c r="J355">
        <v>1961</v>
      </c>
      <c r="K355">
        <f>2026-Table1[[#This Row],[Birthyear]]</f>
        <v>65</v>
      </c>
      <c r="L355" t="s">
        <v>1290</v>
      </c>
      <c r="M355" t="s">
        <v>1290</v>
      </c>
      <c r="N355" t="s">
        <v>1291</v>
      </c>
      <c r="S355" t="s">
        <v>1464</v>
      </c>
      <c r="T355" t="str">
        <f>CONCATENATE(Table1[[#This Row],[Name]]," ",Table1[[#This Row],[Surname/Studio Name/Artistic Name]])</f>
        <v>Choi Jeong-Hwa</v>
      </c>
    </row>
    <row r="356" spans="1:20" x14ac:dyDescent="0.35">
      <c r="A356">
        <v>355</v>
      </c>
      <c r="B356" t="s">
        <v>680</v>
      </c>
      <c r="C356" t="s">
        <v>681</v>
      </c>
      <c r="D356" t="s">
        <v>383</v>
      </c>
      <c r="E356" t="s">
        <v>1916</v>
      </c>
      <c r="F356" t="s">
        <v>25</v>
      </c>
      <c r="G356" t="s">
        <v>1916</v>
      </c>
      <c r="H356" t="s">
        <v>26</v>
      </c>
      <c r="J356">
        <v>1956</v>
      </c>
      <c r="K356">
        <f>2026-Table1[[#This Row],[Birthyear]]</f>
        <v>70</v>
      </c>
      <c r="L356" t="s">
        <v>1910</v>
      </c>
      <c r="M356" t="s">
        <v>1406</v>
      </c>
      <c r="N356" t="s">
        <v>1294</v>
      </c>
      <c r="T356" t="str">
        <f>CONCATENATE(Table1[[#This Row],[Name]]," ",Table1[[#This Row],[Surname/Studio Name/Artistic Name]])</f>
        <v>Sui Jianguo</v>
      </c>
    </row>
    <row r="357" spans="1:20" x14ac:dyDescent="0.35">
      <c r="A357">
        <v>356</v>
      </c>
      <c r="B357" t="s">
        <v>682</v>
      </c>
      <c r="C357" t="s">
        <v>683</v>
      </c>
      <c r="D357" t="s">
        <v>1901</v>
      </c>
      <c r="E357" t="s">
        <v>1916</v>
      </c>
      <c r="F357" t="s">
        <v>25</v>
      </c>
      <c r="G357" t="s">
        <v>1916</v>
      </c>
      <c r="H357" t="s">
        <v>26</v>
      </c>
      <c r="J357">
        <v>1937</v>
      </c>
      <c r="K357">
        <f>2026-Table1[[#This Row],[Birthyear]]</f>
        <v>89</v>
      </c>
      <c r="L357" t="s">
        <v>1293</v>
      </c>
      <c r="M357" t="s">
        <v>1293</v>
      </c>
      <c r="N357" t="s">
        <v>1294</v>
      </c>
      <c r="T357" t="str">
        <f>CONCATENATE(Table1[[#This Row],[Name]]," ",Table1[[#This Row],[Surname/Studio Name/Artistic Name]])</f>
        <v>Allen Jones</v>
      </c>
    </row>
    <row r="358" spans="1:20" x14ac:dyDescent="0.35">
      <c r="A358">
        <v>357</v>
      </c>
      <c r="B358" t="s">
        <v>684</v>
      </c>
      <c r="D358" t="s">
        <v>1891</v>
      </c>
      <c r="E358" t="s">
        <v>1916</v>
      </c>
      <c r="F358" t="s">
        <v>25</v>
      </c>
      <c r="G358" t="s">
        <v>1916</v>
      </c>
      <c r="H358" t="s">
        <v>26</v>
      </c>
      <c r="I358" t="s">
        <v>22</v>
      </c>
      <c r="J358">
        <v>1963</v>
      </c>
      <c r="K358">
        <f>2026-Table1[[#This Row],[Birthyear]]</f>
        <v>63</v>
      </c>
      <c r="L358" t="s">
        <v>1290</v>
      </c>
      <c r="M358" t="s">
        <v>1290</v>
      </c>
      <c r="N358" t="s">
        <v>1291</v>
      </c>
      <c r="S358" t="s">
        <v>1538</v>
      </c>
      <c r="T358" t="str">
        <f>CONCATENATE(Table1[[#This Row],[Name]]," ",Table1[[#This Row],[Surname/Studio Name/Artistic Name]])</f>
        <v xml:space="preserve"> JonOne</v>
      </c>
    </row>
    <row r="359" spans="1:20" x14ac:dyDescent="0.35">
      <c r="A359">
        <v>358</v>
      </c>
      <c r="B359" t="s">
        <v>685</v>
      </c>
      <c r="C359" t="s">
        <v>686</v>
      </c>
      <c r="D359" t="s">
        <v>300</v>
      </c>
      <c r="E359" t="s">
        <v>1916</v>
      </c>
      <c r="F359" t="s">
        <v>20</v>
      </c>
      <c r="G359" t="s">
        <v>1916</v>
      </c>
      <c r="H359" t="s">
        <v>21</v>
      </c>
      <c r="J359">
        <v>1975</v>
      </c>
      <c r="K359">
        <f>2026-Table1[[#This Row],[Birthyear]]</f>
        <v>51</v>
      </c>
      <c r="L359" t="s">
        <v>1290</v>
      </c>
      <c r="M359" t="s">
        <v>1290</v>
      </c>
      <c r="N359" t="s">
        <v>1291</v>
      </c>
      <c r="S359" t="s">
        <v>1321</v>
      </c>
      <c r="T359" t="str">
        <f>CONCATENATE(Table1[[#This Row],[Name]]," ",Table1[[#This Row],[Surname/Studio Name/Artistic Name]])</f>
        <v>Eva Jospin</v>
      </c>
    </row>
    <row r="360" spans="1:20" x14ac:dyDescent="0.35">
      <c r="A360">
        <v>359</v>
      </c>
      <c r="B360" t="s">
        <v>687</v>
      </c>
      <c r="C360" t="s">
        <v>688</v>
      </c>
      <c r="D360" t="s">
        <v>572</v>
      </c>
      <c r="E360" t="s">
        <v>1916</v>
      </c>
      <c r="F360" t="s">
        <v>20</v>
      </c>
      <c r="G360" t="s">
        <v>1916</v>
      </c>
      <c r="H360" t="s">
        <v>21</v>
      </c>
      <c r="J360">
        <v>1990</v>
      </c>
      <c r="K360">
        <f>2026-Table1[[#This Row],[Birthyear]]</f>
        <v>36</v>
      </c>
      <c r="L360" t="s">
        <v>1900</v>
      </c>
      <c r="M360" t="s">
        <v>1300</v>
      </c>
      <c r="N360" t="s">
        <v>1296</v>
      </c>
      <c r="O360" t="s">
        <v>1629</v>
      </c>
      <c r="P360">
        <v>2021</v>
      </c>
      <c r="Q360" t="s">
        <v>1547</v>
      </c>
      <c r="R360" t="s">
        <v>1312</v>
      </c>
      <c r="S360" t="s">
        <v>1325</v>
      </c>
      <c r="T360" t="str">
        <f>CONCATENATE(Table1[[#This Row],[Name]]," ",Table1[[#This Row],[Surname/Studio Name/Artistic Name]])</f>
        <v>Eli Joteva</v>
      </c>
    </row>
    <row r="361" spans="1:20" x14ac:dyDescent="0.35">
      <c r="A361">
        <v>360</v>
      </c>
      <c r="B361" t="s">
        <v>689</v>
      </c>
      <c r="D361" t="s">
        <v>300</v>
      </c>
      <c r="E361" t="s">
        <v>1916</v>
      </c>
      <c r="F361" t="s">
        <v>20</v>
      </c>
      <c r="G361" t="s">
        <v>1916</v>
      </c>
      <c r="H361" t="s">
        <v>26</v>
      </c>
      <c r="J361">
        <v>1983</v>
      </c>
      <c r="K361">
        <f>2026-Table1[[#This Row],[Birthyear]]</f>
        <v>43</v>
      </c>
      <c r="L361" t="s">
        <v>1900</v>
      </c>
      <c r="M361" t="s">
        <v>1322</v>
      </c>
      <c r="N361" t="s">
        <v>1296</v>
      </c>
      <c r="O361" t="s">
        <v>1630</v>
      </c>
      <c r="P361" t="s">
        <v>1631</v>
      </c>
      <c r="Q361" t="s">
        <v>1298</v>
      </c>
      <c r="R361" t="s">
        <v>1312</v>
      </c>
      <c r="T361" t="str">
        <f>CONCATENATE(Table1[[#This Row],[Name]]," ",Table1[[#This Row],[Surname/Studio Name/Artistic Name]])</f>
        <v xml:space="preserve"> JR</v>
      </c>
    </row>
    <row r="362" spans="1:20" x14ac:dyDescent="0.35">
      <c r="A362">
        <v>361</v>
      </c>
      <c r="B362" t="s">
        <v>690</v>
      </c>
      <c r="C362" t="s">
        <v>691</v>
      </c>
      <c r="D362" t="s">
        <v>300</v>
      </c>
      <c r="E362" t="s">
        <v>1916</v>
      </c>
      <c r="F362" t="s">
        <v>25</v>
      </c>
      <c r="G362" t="s">
        <v>1916</v>
      </c>
      <c r="H362" t="s">
        <v>21</v>
      </c>
      <c r="I362" t="s">
        <v>22</v>
      </c>
      <c r="J362">
        <v>1961</v>
      </c>
      <c r="K362">
        <f>2026-Table1[[#This Row],[Birthyear]]</f>
        <v>65</v>
      </c>
      <c r="L362" t="s">
        <v>1293</v>
      </c>
      <c r="M362" t="s">
        <v>1293</v>
      </c>
      <c r="N362" t="s">
        <v>1296</v>
      </c>
      <c r="O362" t="s">
        <v>1632</v>
      </c>
      <c r="Q362" t="s">
        <v>1582</v>
      </c>
      <c r="R362" t="s">
        <v>1633</v>
      </c>
      <c r="S362" t="s">
        <v>1436</v>
      </c>
      <c r="T362" t="str">
        <f>CONCATENATE(Table1[[#This Row],[Name]]," ",Table1[[#This Row],[Surname/Studio Name/Artistic Name]])</f>
        <v>Nathalie Junod Ponsard</v>
      </c>
    </row>
    <row r="363" spans="1:20" x14ac:dyDescent="0.35">
      <c r="A363">
        <v>362</v>
      </c>
      <c r="B363" t="s">
        <v>692</v>
      </c>
      <c r="C363" t="s">
        <v>693</v>
      </c>
      <c r="D363" t="s">
        <v>287</v>
      </c>
      <c r="E363" t="s">
        <v>1916</v>
      </c>
      <c r="F363" t="s">
        <v>20</v>
      </c>
      <c r="G363" t="s">
        <v>1916</v>
      </c>
      <c r="H363" t="s">
        <v>21</v>
      </c>
      <c r="J363">
        <v>1978</v>
      </c>
      <c r="K363">
        <f>2026-Table1[[#This Row],[Birthyear]]</f>
        <v>48</v>
      </c>
      <c r="L363" t="s">
        <v>1290</v>
      </c>
      <c r="M363" t="s">
        <v>1290</v>
      </c>
      <c r="N363" t="s">
        <v>1291</v>
      </c>
      <c r="S363" t="s">
        <v>1464</v>
      </c>
      <c r="T363" t="str">
        <f>CONCATENATE(Table1[[#This Row],[Name]]," ",Table1[[#This Row],[Surname/Studio Name/Artistic Name]])</f>
        <v>Nadia Kaabi-Linke</v>
      </c>
    </row>
    <row r="364" spans="1:20" x14ac:dyDescent="0.35">
      <c r="A364">
        <v>363</v>
      </c>
      <c r="B364" t="s">
        <v>694</v>
      </c>
      <c r="C364" t="s">
        <v>695</v>
      </c>
      <c r="D364" t="s">
        <v>297</v>
      </c>
      <c r="E364" t="s">
        <v>1916</v>
      </c>
      <c r="F364" t="s">
        <v>20</v>
      </c>
      <c r="G364" t="s">
        <v>1916</v>
      </c>
      <c r="H364" t="s">
        <v>21</v>
      </c>
      <c r="J364">
        <v>1960</v>
      </c>
      <c r="K364">
        <f>2026-Table1[[#This Row],[Birthyear]]</f>
        <v>66</v>
      </c>
      <c r="L364" t="s">
        <v>1914</v>
      </c>
      <c r="M364" t="s">
        <v>1326</v>
      </c>
      <c r="N364" t="s">
        <v>1296</v>
      </c>
      <c r="O364" t="s">
        <v>1634</v>
      </c>
      <c r="P364">
        <v>2023</v>
      </c>
      <c r="Q364" t="s">
        <v>1344</v>
      </c>
      <c r="T364" t="str">
        <f>CONCATENATE(Table1[[#This Row],[Name]]," ",Table1[[#This Row],[Surname/Studio Name/Artistic Name]])</f>
        <v>Ikram Kabbaj</v>
      </c>
    </row>
    <row r="365" spans="1:20" x14ac:dyDescent="0.35">
      <c r="A365">
        <v>364</v>
      </c>
      <c r="B365" t="s">
        <v>696</v>
      </c>
      <c r="C365" t="s">
        <v>697</v>
      </c>
      <c r="D365" t="s">
        <v>1891</v>
      </c>
      <c r="E365" t="s">
        <v>1916</v>
      </c>
      <c r="F365" t="s">
        <v>20</v>
      </c>
      <c r="G365" t="s">
        <v>1916</v>
      </c>
      <c r="H365" t="s">
        <v>26</v>
      </c>
      <c r="I365" t="s">
        <v>22</v>
      </c>
      <c r="J365">
        <v>1989</v>
      </c>
      <c r="K365">
        <f>2026-Table1[[#This Row],[Birthyear]]</f>
        <v>37</v>
      </c>
      <c r="L365" t="s">
        <v>1315</v>
      </c>
      <c r="M365" t="s">
        <v>1315</v>
      </c>
      <c r="N365" t="s">
        <v>1296</v>
      </c>
      <c r="O365" t="s">
        <v>1635</v>
      </c>
      <c r="Q365" t="s">
        <v>1376</v>
      </c>
      <c r="S365" t="s">
        <v>1364</v>
      </c>
      <c r="T365" t="str">
        <f>CONCATENATE(Table1[[#This Row],[Name]]," ",Table1[[#This Row],[Surname/Studio Name/Artistic Name]])</f>
        <v>Misha Kahn</v>
      </c>
    </row>
    <row r="366" spans="1:20" x14ac:dyDescent="0.35">
      <c r="A366">
        <v>365</v>
      </c>
      <c r="B366" t="s">
        <v>696</v>
      </c>
      <c r="C366" t="s">
        <v>698</v>
      </c>
      <c r="D366" t="s">
        <v>1891</v>
      </c>
      <c r="E366" t="s">
        <v>1916</v>
      </c>
      <c r="F366" t="s">
        <v>25</v>
      </c>
      <c r="G366" t="s">
        <v>1916</v>
      </c>
      <c r="H366" t="s">
        <v>26</v>
      </c>
      <c r="I366" t="s">
        <v>22</v>
      </c>
      <c r="J366">
        <v>1960</v>
      </c>
      <c r="K366">
        <f>2026-Table1[[#This Row],[Birthyear]]</f>
        <v>66</v>
      </c>
      <c r="L366" t="s">
        <v>1910</v>
      </c>
      <c r="M366" t="s">
        <v>1406</v>
      </c>
      <c r="N366" t="s">
        <v>1294</v>
      </c>
      <c r="T366" t="str">
        <f>CONCATENATE(Table1[[#This Row],[Name]]," ",Table1[[#This Row],[Surname/Studio Name/Artistic Name]])</f>
        <v>Ned Kahn</v>
      </c>
    </row>
    <row r="367" spans="1:20" x14ac:dyDescent="0.35">
      <c r="A367">
        <v>366</v>
      </c>
      <c r="B367" t="s">
        <v>699</v>
      </c>
      <c r="C367" t="s">
        <v>630</v>
      </c>
      <c r="D367" t="s">
        <v>1893</v>
      </c>
      <c r="E367" t="s">
        <v>1916</v>
      </c>
      <c r="F367" t="s">
        <v>20</v>
      </c>
      <c r="G367" t="s">
        <v>1916</v>
      </c>
      <c r="H367" t="s">
        <v>26</v>
      </c>
      <c r="I367" t="s">
        <v>22</v>
      </c>
      <c r="J367">
        <v>1978</v>
      </c>
      <c r="K367">
        <f>2026-Table1[[#This Row],[Birthyear]]</f>
        <v>48</v>
      </c>
      <c r="L367" t="s">
        <v>1315</v>
      </c>
      <c r="M367" t="s">
        <v>1315</v>
      </c>
      <c r="N367" t="s">
        <v>1291</v>
      </c>
      <c r="S367" t="s">
        <v>1511</v>
      </c>
      <c r="T367" t="str">
        <f>CONCATENATE(Table1[[#This Row],[Name]]," ",Table1[[#This Row],[Surname/Studio Name/Artistic Name]])</f>
        <v>Jan Kalab</v>
      </c>
    </row>
    <row r="368" spans="1:20" x14ac:dyDescent="0.35">
      <c r="A368">
        <v>367</v>
      </c>
      <c r="B368" t="s">
        <v>700</v>
      </c>
      <c r="C368" t="s">
        <v>475</v>
      </c>
      <c r="D368" t="s">
        <v>1891</v>
      </c>
      <c r="E368" t="s">
        <v>1916</v>
      </c>
      <c r="F368" t="s">
        <v>25</v>
      </c>
      <c r="G368" t="s">
        <v>1916</v>
      </c>
      <c r="H368" t="s">
        <v>26</v>
      </c>
      <c r="I368" t="s">
        <v>22</v>
      </c>
      <c r="J368">
        <v>1973</v>
      </c>
      <c r="K368">
        <f>2026-Table1[[#This Row],[Birthyear]]</f>
        <v>53</v>
      </c>
      <c r="L368" t="s">
        <v>1290</v>
      </c>
      <c r="M368" t="s">
        <v>1290</v>
      </c>
      <c r="N368" t="s">
        <v>1291</v>
      </c>
      <c r="S368" t="s">
        <v>1422</v>
      </c>
      <c r="T368" t="str">
        <f>CONCATENATE(Table1[[#This Row],[Name]]," ",Table1[[#This Row],[Surname/Studio Name/Artistic Name]])</f>
        <v>Michael Kalish</v>
      </c>
    </row>
    <row r="369" spans="1:20" x14ac:dyDescent="0.35">
      <c r="A369">
        <v>368</v>
      </c>
      <c r="B369" t="s">
        <v>701</v>
      </c>
      <c r="C369" t="s">
        <v>702</v>
      </c>
      <c r="D369" t="s">
        <v>600</v>
      </c>
      <c r="E369" t="s">
        <v>1916</v>
      </c>
      <c r="F369" t="s">
        <v>20</v>
      </c>
      <c r="G369" t="s">
        <v>1916</v>
      </c>
      <c r="H369" t="s">
        <v>26</v>
      </c>
      <c r="J369">
        <v>1954</v>
      </c>
      <c r="K369">
        <f>2026-Table1[[#This Row],[Birthyear]]</f>
        <v>72</v>
      </c>
      <c r="L369" t="s">
        <v>1588</v>
      </c>
      <c r="M369" t="s">
        <v>1588</v>
      </c>
      <c r="N369" t="s">
        <v>1296</v>
      </c>
      <c r="O369" t="s">
        <v>1636</v>
      </c>
      <c r="P369">
        <v>2014</v>
      </c>
      <c r="Q369" t="s">
        <v>1344</v>
      </c>
      <c r="S369" t="s">
        <v>1637</v>
      </c>
      <c r="T369" t="str">
        <f>CONCATENATE(Table1[[#This Row],[Name]]," ",Table1[[#This Row],[Surname/Studio Name/Artistic Name]])</f>
        <v>Anish Kapoor</v>
      </c>
    </row>
    <row r="370" spans="1:20" x14ac:dyDescent="0.35">
      <c r="A370">
        <v>369</v>
      </c>
      <c r="B370" t="s">
        <v>703</v>
      </c>
      <c r="C370" t="s">
        <v>704</v>
      </c>
      <c r="D370" t="s">
        <v>257</v>
      </c>
      <c r="E370" t="s">
        <v>1916</v>
      </c>
      <c r="F370" t="s">
        <v>20</v>
      </c>
      <c r="G370" t="s">
        <v>1916</v>
      </c>
      <c r="H370" t="s">
        <v>26</v>
      </c>
      <c r="I370" t="s">
        <v>22</v>
      </c>
      <c r="J370">
        <v>1957</v>
      </c>
      <c r="K370">
        <f>2026-Table1[[#This Row],[Birthyear]]</f>
        <v>69</v>
      </c>
      <c r="L370" t="s">
        <v>1357</v>
      </c>
      <c r="M370" t="s">
        <v>1357</v>
      </c>
      <c r="N370" t="s">
        <v>1309</v>
      </c>
      <c r="S370" t="s">
        <v>1638</v>
      </c>
      <c r="T370" t="str">
        <f>CONCATENATE(Table1[[#This Row],[Name]]," ",Table1[[#This Row],[Surname/Studio Name/Artistic Name]])</f>
        <v>Nadim Karam</v>
      </c>
    </row>
    <row r="371" spans="1:20" x14ac:dyDescent="0.35">
      <c r="A371">
        <v>370</v>
      </c>
      <c r="B371" t="s">
        <v>705</v>
      </c>
      <c r="C371" t="s">
        <v>706</v>
      </c>
      <c r="D371" t="s">
        <v>1896</v>
      </c>
      <c r="E371" t="s">
        <v>1916</v>
      </c>
      <c r="F371" t="s">
        <v>20</v>
      </c>
      <c r="G371" t="s">
        <v>1916</v>
      </c>
      <c r="H371" t="s">
        <v>26</v>
      </c>
      <c r="J371">
        <v>1955</v>
      </c>
      <c r="K371">
        <f>2026-Table1[[#This Row],[Birthyear]]</f>
        <v>71</v>
      </c>
      <c r="L371" t="s">
        <v>1914</v>
      </c>
      <c r="M371" t="s">
        <v>1396</v>
      </c>
      <c r="N371" t="s">
        <v>1296</v>
      </c>
      <c r="P371">
        <v>2020</v>
      </c>
      <c r="Q371" t="s">
        <v>1344</v>
      </c>
      <c r="T371" t="str">
        <f>CONCATENATE(Table1[[#This Row],[Name]]," ",Table1[[#This Row],[Surname/Studio Name/Artistic Name]])</f>
        <v>Nikolay Karlykhanov</v>
      </c>
    </row>
    <row r="372" spans="1:20" x14ac:dyDescent="0.35">
      <c r="A372">
        <v>371</v>
      </c>
      <c r="B372" t="s">
        <v>707</v>
      </c>
      <c r="C372" t="s">
        <v>708</v>
      </c>
      <c r="D372" t="s">
        <v>1891</v>
      </c>
      <c r="E372" t="s">
        <v>1916</v>
      </c>
      <c r="F372" t="s">
        <v>25</v>
      </c>
      <c r="G372" t="s">
        <v>1916</v>
      </c>
      <c r="H372" t="s">
        <v>26</v>
      </c>
      <c r="J372">
        <v>1948</v>
      </c>
      <c r="K372">
        <f>2026-Table1[[#This Row],[Birthyear]]</f>
        <v>78</v>
      </c>
      <c r="L372" t="s">
        <v>1293</v>
      </c>
      <c r="M372" t="s">
        <v>1293</v>
      </c>
      <c r="N372" t="s">
        <v>1294</v>
      </c>
      <c r="T372" t="str">
        <f>CONCATENATE(Table1[[#This Row],[Name]]," ",Table1[[#This Row],[Surname/Studio Name/Artistic Name]])</f>
        <v>Terrence Karpowicz</v>
      </c>
    </row>
    <row r="373" spans="1:20" x14ac:dyDescent="0.35">
      <c r="A373">
        <v>372</v>
      </c>
      <c r="B373" t="s">
        <v>709</v>
      </c>
      <c r="C373" t="s">
        <v>710</v>
      </c>
      <c r="D373" t="s">
        <v>29</v>
      </c>
      <c r="E373" t="s">
        <v>1916</v>
      </c>
      <c r="F373" t="s">
        <v>20</v>
      </c>
      <c r="G373" t="s">
        <v>1916</v>
      </c>
      <c r="H373" t="s">
        <v>21</v>
      </c>
      <c r="J373">
        <v>1988</v>
      </c>
      <c r="K373">
        <f>2026-Table1[[#This Row],[Birthyear]]</f>
        <v>38</v>
      </c>
      <c r="L373" t="s">
        <v>1900</v>
      </c>
      <c r="M373" t="s">
        <v>1317</v>
      </c>
      <c r="N373" t="s">
        <v>1296</v>
      </c>
      <c r="O373" t="s">
        <v>1639</v>
      </c>
      <c r="P373">
        <v>2023</v>
      </c>
      <c r="Q373" t="s">
        <v>1298</v>
      </c>
      <c r="R373" t="s">
        <v>1355</v>
      </c>
      <c r="S373" t="s">
        <v>1341</v>
      </c>
      <c r="T373" t="str">
        <f>CONCATENATE(Table1[[#This Row],[Name]]," ",Table1[[#This Row],[Surname/Studio Name/Artistic Name]])</f>
        <v>Dur Kattan​</v>
      </c>
    </row>
    <row r="374" spans="1:20" x14ac:dyDescent="0.35">
      <c r="A374">
        <v>373</v>
      </c>
      <c r="B374" t="s">
        <v>711</v>
      </c>
      <c r="C374" t="s">
        <v>391</v>
      </c>
      <c r="D374" t="s">
        <v>1891</v>
      </c>
      <c r="E374" t="s">
        <v>1916</v>
      </c>
      <c r="F374" t="s">
        <v>20</v>
      </c>
      <c r="G374" t="s">
        <v>1916</v>
      </c>
      <c r="H374" t="s">
        <v>26</v>
      </c>
      <c r="I374" t="s">
        <v>22</v>
      </c>
      <c r="J374">
        <v>1927</v>
      </c>
      <c r="K374">
        <f>2026-Table1[[#This Row],[Birthyear]]</f>
        <v>99</v>
      </c>
      <c r="L374" t="s">
        <v>1290</v>
      </c>
      <c r="M374" t="s">
        <v>1290</v>
      </c>
      <c r="N374" t="s">
        <v>1291</v>
      </c>
      <c r="S374" t="s">
        <v>1468</v>
      </c>
      <c r="T374" t="str">
        <f>CONCATENATE(Table1[[#This Row],[Name]]," ",Table1[[#This Row],[Surname/Studio Name/Artistic Name]])</f>
        <v>Alex Katz</v>
      </c>
    </row>
    <row r="375" spans="1:20" x14ac:dyDescent="0.35">
      <c r="A375">
        <v>374</v>
      </c>
      <c r="B375" t="s">
        <v>712</v>
      </c>
      <c r="C375" t="s">
        <v>713</v>
      </c>
      <c r="D375" t="s">
        <v>216</v>
      </c>
      <c r="E375" t="s">
        <v>1916</v>
      </c>
      <c r="F375" t="s">
        <v>20</v>
      </c>
      <c r="G375" t="s">
        <v>1916</v>
      </c>
      <c r="H375" t="s">
        <v>26</v>
      </c>
      <c r="J375">
        <v>1953</v>
      </c>
      <c r="K375">
        <f>2026-Table1[[#This Row],[Birthyear]]</f>
        <v>73</v>
      </c>
      <c r="L375" t="s">
        <v>1900</v>
      </c>
      <c r="M375" t="s">
        <v>1300</v>
      </c>
      <c r="N375" t="s">
        <v>1296</v>
      </c>
      <c r="O375" t="s">
        <v>1640</v>
      </c>
      <c r="P375">
        <v>2022</v>
      </c>
      <c r="Q375" t="s">
        <v>1298</v>
      </c>
      <c r="R375" t="s">
        <v>1355</v>
      </c>
      <c r="S375" t="s">
        <v>1304</v>
      </c>
      <c r="T375" t="str">
        <f>CONCATENATE(Table1[[#This Row],[Name]]," ",Table1[[#This Row],[Surname/Studio Name/Artistic Name]])</f>
        <v>Tadashi Kawamata</v>
      </c>
    </row>
    <row r="376" spans="1:20" x14ac:dyDescent="0.35">
      <c r="A376">
        <v>375</v>
      </c>
      <c r="B376" t="s">
        <v>714</v>
      </c>
      <c r="D376" t="s">
        <v>1891</v>
      </c>
      <c r="E376" t="s">
        <v>1916</v>
      </c>
      <c r="F376" t="s">
        <v>20</v>
      </c>
      <c r="G376" t="s">
        <v>1916</v>
      </c>
      <c r="H376" t="s">
        <v>26</v>
      </c>
      <c r="J376">
        <v>1974</v>
      </c>
      <c r="K376">
        <f>2026-Table1[[#This Row],[Birthyear]]</f>
        <v>52</v>
      </c>
      <c r="L376" t="s">
        <v>1290</v>
      </c>
      <c r="M376" t="s">
        <v>1290</v>
      </c>
      <c r="N376" t="s">
        <v>1291</v>
      </c>
      <c r="S376" t="s">
        <v>1549</v>
      </c>
      <c r="T376" t="str">
        <f>CONCATENATE(Table1[[#This Row],[Name]]," ",Table1[[#This Row],[Surname/Studio Name/Artistic Name]])</f>
        <v xml:space="preserve"> KAWS</v>
      </c>
    </row>
    <row r="377" spans="1:20" x14ac:dyDescent="0.35">
      <c r="A377">
        <v>376</v>
      </c>
      <c r="B377" t="s">
        <v>715</v>
      </c>
      <c r="C377" t="s">
        <v>115</v>
      </c>
      <c r="D377" t="s">
        <v>1902</v>
      </c>
      <c r="E377" t="s">
        <v>1916</v>
      </c>
      <c r="F377" t="s">
        <v>20</v>
      </c>
      <c r="G377" t="s">
        <v>1916</v>
      </c>
      <c r="H377" t="s">
        <v>26</v>
      </c>
      <c r="J377">
        <v>1971</v>
      </c>
      <c r="K377">
        <f>2026-Table1[[#This Row],[Birthyear]]</f>
        <v>55</v>
      </c>
      <c r="L377" t="s">
        <v>1290</v>
      </c>
      <c r="M377" t="s">
        <v>1290</v>
      </c>
      <c r="N377" t="s">
        <v>1291</v>
      </c>
      <c r="S377" t="s">
        <v>1452</v>
      </c>
      <c r="T377" t="str">
        <f>CONCATENATE(Table1[[#This Row],[Name]]," ",Table1[[#This Row],[Surname/Studio Name/Artistic Name]])</f>
        <v>Ali Kazma</v>
      </c>
    </row>
    <row r="378" spans="1:20" x14ac:dyDescent="0.35">
      <c r="A378">
        <v>377</v>
      </c>
      <c r="B378" t="s">
        <v>716</v>
      </c>
      <c r="C378" t="s">
        <v>717</v>
      </c>
      <c r="D378" t="s">
        <v>300</v>
      </c>
      <c r="E378" t="s">
        <v>1916</v>
      </c>
      <c r="F378" t="s">
        <v>20</v>
      </c>
      <c r="G378" t="s">
        <v>1916</v>
      </c>
      <c r="H378" t="s">
        <v>26</v>
      </c>
      <c r="J378">
        <v>1955</v>
      </c>
      <c r="K378">
        <f>2026-Table1[[#This Row],[Birthyear]]</f>
        <v>71</v>
      </c>
      <c r="L378" t="s">
        <v>1900</v>
      </c>
      <c r="M378" t="s">
        <v>1300</v>
      </c>
      <c r="N378" t="s">
        <v>1296</v>
      </c>
      <c r="O378" t="s">
        <v>1641</v>
      </c>
      <c r="P378">
        <v>2022</v>
      </c>
      <c r="Q378" t="s">
        <v>1454</v>
      </c>
      <c r="R378" t="s">
        <v>1642</v>
      </c>
      <c r="S378" t="s">
        <v>1304</v>
      </c>
      <c r="T378" t="str">
        <f>CONCATENATE(Table1[[#This Row],[Name]]," ",Table1[[#This Row],[Surname/Studio Name/Artistic Name]])</f>
        <v>Yann Kersalé</v>
      </c>
    </row>
    <row r="379" spans="1:20" x14ac:dyDescent="0.35">
      <c r="A379">
        <v>378</v>
      </c>
      <c r="B379" t="s">
        <v>718</v>
      </c>
      <c r="C379" t="s">
        <v>719</v>
      </c>
      <c r="D379" t="s">
        <v>219</v>
      </c>
      <c r="E379" t="s">
        <v>1916</v>
      </c>
      <c r="F379" t="s">
        <v>20</v>
      </c>
      <c r="G379" t="s">
        <v>1916</v>
      </c>
      <c r="H379" t="s">
        <v>720</v>
      </c>
      <c r="J379">
        <v>1982</v>
      </c>
      <c r="K379">
        <f>2026-Table1[[#This Row],[Birthyear]]</f>
        <v>44</v>
      </c>
      <c r="L379" t="s">
        <v>1290</v>
      </c>
      <c r="M379" t="s">
        <v>1290</v>
      </c>
      <c r="N379" t="s">
        <v>1291</v>
      </c>
      <c r="S379" t="s">
        <v>1468</v>
      </c>
      <c r="T379" t="str">
        <f>CONCATENATE(Table1[[#This Row],[Name]]," ",Table1[[#This Row],[Surname/Studio Name/Artistic Name]])</f>
        <v>Mahmoud Khaled</v>
      </c>
    </row>
    <row r="380" spans="1:20" x14ac:dyDescent="0.35">
      <c r="A380">
        <v>379</v>
      </c>
      <c r="B380" t="s">
        <v>721</v>
      </c>
      <c r="C380" t="s">
        <v>722</v>
      </c>
      <c r="D380" t="s">
        <v>1901</v>
      </c>
      <c r="E380" t="s">
        <v>1916</v>
      </c>
      <c r="F380" t="s">
        <v>25</v>
      </c>
      <c r="G380" t="s">
        <v>1916</v>
      </c>
      <c r="H380" t="s">
        <v>26</v>
      </c>
      <c r="I380" t="s">
        <v>22</v>
      </c>
      <c r="J380">
        <v>1978</v>
      </c>
      <c r="K380">
        <f>2026-Table1[[#This Row],[Birthyear]]</f>
        <v>48</v>
      </c>
      <c r="L380" t="s">
        <v>1293</v>
      </c>
      <c r="M380" t="s">
        <v>1293</v>
      </c>
      <c r="N380" t="s">
        <v>1296</v>
      </c>
      <c r="O380" t="s">
        <v>1643</v>
      </c>
      <c r="Q380" t="s">
        <v>1298</v>
      </c>
      <c r="R380" t="s">
        <v>1644</v>
      </c>
      <c r="S380" t="s">
        <v>1353</v>
      </c>
      <c r="T380" t="str">
        <f>CONCATENATE(Table1[[#This Row],[Name]]," ",Table1[[#This Row],[Surname/Studio Name/Artistic Name]])</f>
        <v>Idris Khan</v>
      </c>
    </row>
    <row r="381" spans="1:20" x14ac:dyDescent="0.35">
      <c r="A381">
        <v>380</v>
      </c>
      <c r="B381" t="s">
        <v>721</v>
      </c>
      <c r="C381" t="s">
        <v>723</v>
      </c>
      <c r="D381" t="s">
        <v>19</v>
      </c>
      <c r="E381" t="s">
        <v>1916</v>
      </c>
      <c r="F381" t="s">
        <v>20</v>
      </c>
      <c r="G381" t="s">
        <v>1916</v>
      </c>
      <c r="H381" t="s">
        <v>26</v>
      </c>
      <c r="J381">
        <v>1982</v>
      </c>
      <c r="K381">
        <f>2026-Table1[[#This Row],[Birthyear]]</f>
        <v>44</v>
      </c>
      <c r="L381" t="s">
        <v>1290</v>
      </c>
      <c r="M381" t="s">
        <v>1290</v>
      </c>
      <c r="N381" t="s">
        <v>1337</v>
      </c>
      <c r="S381" t="s">
        <v>1645</v>
      </c>
      <c r="T381" t="str">
        <f>CONCATENATE(Table1[[#This Row],[Name]]," ",Table1[[#This Row],[Surname/Studio Name/Artistic Name]])</f>
        <v>Waqas Khan</v>
      </c>
    </row>
    <row r="382" spans="1:20" x14ac:dyDescent="0.35">
      <c r="A382">
        <v>381</v>
      </c>
      <c r="B382" t="s">
        <v>724</v>
      </c>
      <c r="C382" t="s">
        <v>725</v>
      </c>
      <c r="D382" t="s">
        <v>211</v>
      </c>
      <c r="E382" t="s">
        <v>1916</v>
      </c>
      <c r="F382" t="s">
        <v>25</v>
      </c>
      <c r="G382" t="s">
        <v>1916</v>
      </c>
      <c r="H382" t="s">
        <v>26</v>
      </c>
      <c r="J382">
        <v>1945</v>
      </c>
      <c r="K382">
        <f>2026-Table1[[#This Row],[Birthyear]]</f>
        <v>81</v>
      </c>
      <c r="L382" t="s">
        <v>1588</v>
      </c>
      <c r="M382" t="s">
        <v>1588</v>
      </c>
      <c r="N382" t="s">
        <v>1296</v>
      </c>
      <c r="O382" t="s">
        <v>1646</v>
      </c>
      <c r="P382">
        <v>2018</v>
      </c>
      <c r="Q382" t="s">
        <v>1344</v>
      </c>
      <c r="R382" t="s">
        <v>1647</v>
      </c>
      <c r="S382" t="s">
        <v>1648</v>
      </c>
      <c r="T382" t="str">
        <f>CONCATENATE(Table1[[#This Row],[Name]]," ",Table1[[#This Row],[Surname/Studio Name/Artistic Name]])</f>
        <v>Anselm Kiefer</v>
      </c>
    </row>
    <row r="383" spans="1:20" x14ac:dyDescent="0.35">
      <c r="A383">
        <v>382</v>
      </c>
      <c r="B383" t="s">
        <v>446</v>
      </c>
      <c r="C383" t="s">
        <v>726</v>
      </c>
      <c r="D383" t="s">
        <v>1894</v>
      </c>
      <c r="E383" t="s">
        <v>1916</v>
      </c>
      <c r="F383" t="s">
        <v>20</v>
      </c>
      <c r="G383" t="s">
        <v>1916</v>
      </c>
      <c r="H383" t="s">
        <v>26</v>
      </c>
      <c r="I383" t="s">
        <v>22</v>
      </c>
      <c r="J383">
        <v>1970</v>
      </c>
      <c r="K383">
        <f>2026-Table1[[#This Row],[Birthyear]]</f>
        <v>56</v>
      </c>
      <c r="L383" t="s">
        <v>1290</v>
      </c>
      <c r="M383" t="s">
        <v>1290</v>
      </c>
      <c r="N383" t="s">
        <v>1296</v>
      </c>
      <c r="O383" t="s">
        <v>1649</v>
      </c>
      <c r="Q383" t="s">
        <v>1298</v>
      </c>
      <c r="R383" t="s">
        <v>1650</v>
      </c>
      <c r="S383" t="s">
        <v>1651</v>
      </c>
      <c r="T383" t="str">
        <f>CONCATENATE(Table1[[#This Row],[Name]]," ",Table1[[#This Row],[Surname/Studio Name/Artistic Name]])</f>
        <v>Yunchul Kim</v>
      </c>
    </row>
    <row r="384" spans="1:20" x14ac:dyDescent="0.35">
      <c r="A384">
        <v>383</v>
      </c>
      <c r="B384" t="s">
        <v>446</v>
      </c>
      <c r="C384" t="s">
        <v>727</v>
      </c>
      <c r="D384" t="s">
        <v>1894</v>
      </c>
      <c r="E384" t="s">
        <v>1916</v>
      </c>
      <c r="F384" t="s">
        <v>20</v>
      </c>
      <c r="G384" t="s">
        <v>1916</v>
      </c>
      <c r="H384" t="s">
        <v>21</v>
      </c>
      <c r="J384">
        <v>1979</v>
      </c>
      <c r="K384">
        <f>2026-Table1[[#This Row],[Birthyear]]</f>
        <v>47</v>
      </c>
      <c r="L384" t="s">
        <v>1900</v>
      </c>
      <c r="M384" t="s">
        <v>1295</v>
      </c>
      <c r="N384" t="s">
        <v>1296</v>
      </c>
      <c r="O384" t="s">
        <v>1652</v>
      </c>
      <c r="P384">
        <v>2022</v>
      </c>
      <c r="Q384" t="s">
        <v>1653</v>
      </c>
      <c r="R384" t="s">
        <v>1312</v>
      </c>
      <c r="T384" t="str">
        <f>CONCATENATE(Table1[[#This Row],[Name]]," ",Table1[[#This Row],[Surname/Studio Name/Artistic Name]])</f>
        <v>Ayoung Kim</v>
      </c>
    </row>
    <row r="385" spans="1:20" x14ac:dyDescent="0.35">
      <c r="A385">
        <v>384</v>
      </c>
      <c r="B385" t="s">
        <v>728</v>
      </c>
      <c r="D385" t="s">
        <v>1894</v>
      </c>
      <c r="E385" t="s">
        <v>1916</v>
      </c>
      <c r="F385" t="s">
        <v>25</v>
      </c>
      <c r="G385" t="s">
        <v>1916</v>
      </c>
      <c r="H385" t="s">
        <v>21</v>
      </c>
      <c r="I385" t="s">
        <v>22</v>
      </c>
      <c r="J385">
        <v>1957</v>
      </c>
      <c r="K385">
        <f>2026-Table1[[#This Row],[Birthyear]]</f>
        <v>69</v>
      </c>
      <c r="L385" t="s">
        <v>1290</v>
      </c>
      <c r="M385" t="s">
        <v>1290</v>
      </c>
      <c r="N385" t="s">
        <v>1291</v>
      </c>
      <c r="S385" t="s">
        <v>1532</v>
      </c>
      <c r="T385" t="str">
        <f>CONCATENATE(Table1[[#This Row],[Name]]," ",Table1[[#This Row],[Surname/Studio Name/Artistic Name]])</f>
        <v xml:space="preserve"> Kimsooja</v>
      </c>
    </row>
    <row r="386" spans="1:20" x14ac:dyDescent="0.35">
      <c r="A386">
        <v>385</v>
      </c>
      <c r="B386" t="s">
        <v>729</v>
      </c>
      <c r="C386" t="s">
        <v>730</v>
      </c>
      <c r="D386" t="s">
        <v>211</v>
      </c>
      <c r="E386" t="s">
        <v>1916</v>
      </c>
      <c r="F386" t="s">
        <v>20</v>
      </c>
      <c r="G386" t="s">
        <v>1916</v>
      </c>
      <c r="H386" t="s">
        <v>26</v>
      </c>
      <c r="J386">
        <v>1964</v>
      </c>
      <c r="K386">
        <f>2026-Table1[[#This Row],[Birthyear]]</f>
        <v>62</v>
      </c>
      <c r="L386" t="s">
        <v>1914</v>
      </c>
      <c r="M386" t="s">
        <v>1345</v>
      </c>
      <c r="N386" t="s">
        <v>1296</v>
      </c>
      <c r="O386" t="s">
        <v>1654</v>
      </c>
      <c r="P386">
        <v>2021</v>
      </c>
      <c r="Q386" t="s">
        <v>1344</v>
      </c>
      <c r="R386" t="s">
        <v>1299</v>
      </c>
      <c r="T386" t="str">
        <f>CONCATENATE(Table1[[#This Row],[Name]]," ",Table1[[#This Row],[Surname/Studio Name/Artistic Name]])</f>
        <v>Jo Kley</v>
      </c>
    </row>
    <row r="387" spans="1:20" x14ac:dyDescent="0.35">
      <c r="A387">
        <v>386</v>
      </c>
      <c r="B387" t="s">
        <v>731</v>
      </c>
      <c r="D387" t="s">
        <v>1904</v>
      </c>
      <c r="E387" t="s">
        <v>1916</v>
      </c>
      <c r="F387" t="s">
        <v>25</v>
      </c>
      <c r="G387" t="s">
        <v>1916</v>
      </c>
      <c r="H387" t="s">
        <v>26</v>
      </c>
      <c r="J387">
        <v>1984</v>
      </c>
      <c r="K387">
        <f>2026-Table1[[#This Row],[Birthyear]]</f>
        <v>42</v>
      </c>
      <c r="L387" t="s">
        <v>1293</v>
      </c>
      <c r="M387" t="s">
        <v>1293</v>
      </c>
      <c r="N387" t="s">
        <v>1294</v>
      </c>
      <c r="T387" t="str">
        <f>CONCATENATE(Table1[[#This Row],[Name]]," ",Table1[[#This Row],[Surname/Studio Name/Artistic Name]])</f>
        <v xml:space="preserve"> Klibansky</v>
      </c>
    </row>
    <row r="388" spans="1:20" x14ac:dyDescent="0.35">
      <c r="A388">
        <v>387</v>
      </c>
      <c r="B388" t="s">
        <v>732</v>
      </c>
      <c r="C388" t="s">
        <v>733</v>
      </c>
      <c r="D388" t="s">
        <v>262</v>
      </c>
      <c r="E388" t="s">
        <v>1916</v>
      </c>
      <c r="F388" t="s">
        <v>20</v>
      </c>
      <c r="G388" t="s">
        <v>1916</v>
      </c>
      <c r="H388" t="s">
        <v>21</v>
      </c>
      <c r="J388">
        <v>1966</v>
      </c>
      <c r="K388">
        <f>2026-Table1[[#This Row],[Birthyear]]</f>
        <v>60</v>
      </c>
      <c r="L388" t="s">
        <v>1900</v>
      </c>
      <c r="M388" t="s">
        <v>1317</v>
      </c>
      <c r="N388" t="s">
        <v>1296</v>
      </c>
      <c r="O388" t="s">
        <v>1655</v>
      </c>
      <c r="P388">
        <v>2023</v>
      </c>
      <c r="Q388" t="s">
        <v>1302</v>
      </c>
      <c r="R388" t="s">
        <v>1340</v>
      </c>
      <c r="S388" t="s">
        <v>1341</v>
      </c>
      <c r="T388" t="str">
        <f>CONCATENATE(Table1[[#This Row],[Name]]," ",Table1[[#This Row],[Surname/Studio Name/Artistic Name]])</f>
        <v>Lúcia Koch​</v>
      </c>
    </row>
    <row r="389" spans="1:20" x14ac:dyDescent="0.35">
      <c r="A389">
        <v>388</v>
      </c>
      <c r="B389" t="s">
        <v>734</v>
      </c>
      <c r="C389" t="s">
        <v>735</v>
      </c>
      <c r="D389" t="s">
        <v>515</v>
      </c>
      <c r="E389" t="s">
        <v>1916</v>
      </c>
      <c r="F389" t="s">
        <v>20</v>
      </c>
      <c r="G389" t="s">
        <v>1916</v>
      </c>
      <c r="H389" t="s">
        <v>26</v>
      </c>
      <c r="J389">
        <v>1959</v>
      </c>
      <c r="K389">
        <f>2026-Table1[[#This Row],[Birthyear]]</f>
        <v>67</v>
      </c>
      <c r="L389" t="s">
        <v>1357</v>
      </c>
      <c r="M389" t="s">
        <v>1357</v>
      </c>
      <c r="N389" t="s">
        <v>1294</v>
      </c>
      <c r="S389" t="s">
        <v>1656</v>
      </c>
      <c r="T389" t="str">
        <f>CONCATENATE(Table1[[#This Row],[Name]]," ",Table1[[#This Row],[Surname/Studio Name/Artistic Name]])</f>
        <v>Peter Kogler</v>
      </c>
    </row>
    <row r="390" spans="1:20" x14ac:dyDescent="0.35">
      <c r="A390">
        <v>389</v>
      </c>
      <c r="B390" t="s">
        <v>736</v>
      </c>
      <c r="C390" t="s">
        <v>737</v>
      </c>
      <c r="D390" t="s">
        <v>595</v>
      </c>
      <c r="E390" t="s">
        <v>1916</v>
      </c>
      <c r="F390" t="s">
        <v>20</v>
      </c>
      <c r="G390" t="s">
        <v>1916</v>
      </c>
      <c r="H390" t="s">
        <v>26</v>
      </c>
      <c r="J390">
        <v>1971</v>
      </c>
      <c r="K390">
        <f>2026-Table1[[#This Row],[Birthyear]]</f>
        <v>55</v>
      </c>
      <c r="L390" t="s">
        <v>1914</v>
      </c>
      <c r="M390" t="s">
        <v>1345</v>
      </c>
      <c r="N390" t="s">
        <v>1296</v>
      </c>
      <c r="O390" t="s">
        <v>1657</v>
      </c>
      <c r="P390">
        <v>2021</v>
      </c>
      <c r="Q390" t="s">
        <v>1344</v>
      </c>
      <c r="R390" t="s">
        <v>1299</v>
      </c>
      <c r="T390" t="str">
        <f>CONCATENATE(Table1[[#This Row],[Name]]," ",Table1[[#This Row],[Surname/Studio Name/Artistic Name]])</f>
        <v>Damjan Komel</v>
      </c>
    </row>
    <row r="391" spans="1:20" x14ac:dyDescent="0.35">
      <c r="A391">
        <v>390</v>
      </c>
      <c r="B391" t="s">
        <v>738</v>
      </c>
      <c r="C391" t="s">
        <v>739</v>
      </c>
      <c r="D391" t="s">
        <v>338</v>
      </c>
      <c r="E391" t="s">
        <v>1916</v>
      </c>
      <c r="F391" t="s">
        <v>20</v>
      </c>
      <c r="G391" t="s">
        <v>1916</v>
      </c>
      <c r="H391" t="s">
        <v>26</v>
      </c>
      <c r="J391">
        <v>1988</v>
      </c>
      <c r="K391">
        <f>2026-Table1[[#This Row],[Birthyear]]</f>
        <v>38</v>
      </c>
      <c r="L391" t="s">
        <v>1900</v>
      </c>
      <c r="M391" t="s">
        <v>1322</v>
      </c>
      <c r="N391" t="s">
        <v>1296</v>
      </c>
      <c r="O391" t="s">
        <v>1658</v>
      </c>
      <c r="P391">
        <v>2022</v>
      </c>
      <c r="Q391" t="s">
        <v>1334</v>
      </c>
      <c r="R391" t="s">
        <v>1312</v>
      </c>
      <c r="T391" t="str">
        <f>CONCATENATE(Table1[[#This Row],[Name]]," ",Table1[[#This Row],[Surname/Studio Name/Artistic Name]])</f>
        <v>Ksawery Komputery</v>
      </c>
    </row>
    <row r="392" spans="1:20" x14ac:dyDescent="0.35">
      <c r="A392">
        <v>391</v>
      </c>
      <c r="B392" t="s">
        <v>740</v>
      </c>
      <c r="C392" t="s">
        <v>741</v>
      </c>
      <c r="D392" t="s">
        <v>1891</v>
      </c>
      <c r="E392" t="s">
        <v>1916</v>
      </c>
      <c r="F392" t="s">
        <v>20</v>
      </c>
      <c r="G392" t="s">
        <v>1916</v>
      </c>
      <c r="H392" t="s">
        <v>26</v>
      </c>
      <c r="J392">
        <v>1955</v>
      </c>
      <c r="K392">
        <f>2026-Table1[[#This Row],[Birthyear]]</f>
        <v>71</v>
      </c>
      <c r="L392" t="s">
        <v>1588</v>
      </c>
      <c r="M392" t="s">
        <v>1588</v>
      </c>
      <c r="N392" t="s">
        <v>1296</v>
      </c>
      <c r="O392" t="s">
        <v>1659</v>
      </c>
      <c r="P392" t="s">
        <v>1660</v>
      </c>
      <c r="Q392" t="s">
        <v>1344</v>
      </c>
      <c r="R392" t="s">
        <v>1661</v>
      </c>
      <c r="S392" t="s">
        <v>1662</v>
      </c>
      <c r="T392" t="str">
        <f>CONCATENATE(Table1[[#This Row],[Name]]," ",Table1[[#This Row],[Surname/Studio Name/Artistic Name]])</f>
        <v>Jeff Koons</v>
      </c>
    </row>
    <row r="393" spans="1:20" x14ac:dyDescent="0.35">
      <c r="A393">
        <v>392</v>
      </c>
      <c r="B393" t="s">
        <v>742</v>
      </c>
      <c r="C393" t="s">
        <v>743</v>
      </c>
      <c r="D393" t="s">
        <v>744</v>
      </c>
      <c r="E393" t="s">
        <v>1916</v>
      </c>
      <c r="F393" t="s">
        <v>20</v>
      </c>
      <c r="G393" t="s">
        <v>1916</v>
      </c>
      <c r="H393" t="s">
        <v>26</v>
      </c>
      <c r="J393">
        <v>1970</v>
      </c>
      <c r="K393">
        <f>2026-Table1[[#This Row],[Birthyear]]</f>
        <v>56</v>
      </c>
      <c r="L393" t="s">
        <v>1914</v>
      </c>
      <c r="M393" t="s">
        <v>1425</v>
      </c>
      <c r="N393" t="s">
        <v>1296</v>
      </c>
      <c r="P393">
        <v>2019</v>
      </c>
      <c r="Q393" t="s">
        <v>1344</v>
      </c>
      <c r="T393" t="str">
        <f>CONCATENATE(Table1[[#This Row],[Name]]," ",Table1[[#This Row],[Surname/Studio Name/Artistic Name]])</f>
        <v>Viktar Kopach</v>
      </c>
    </row>
    <row r="394" spans="1:20" x14ac:dyDescent="0.35">
      <c r="A394">
        <v>393</v>
      </c>
      <c r="B394" t="s">
        <v>745</v>
      </c>
      <c r="C394" t="s">
        <v>746</v>
      </c>
      <c r="D394" t="s">
        <v>747</v>
      </c>
      <c r="E394" t="s">
        <v>1916</v>
      </c>
      <c r="F394" t="s">
        <v>25</v>
      </c>
      <c r="G394" t="s">
        <v>1916</v>
      </c>
      <c r="H394" t="s">
        <v>26</v>
      </c>
      <c r="J394">
        <v>1947</v>
      </c>
      <c r="K394">
        <f>2026-Table1[[#This Row],[Birthyear]]</f>
        <v>79</v>
      </c>
      <c r="L394" t="s">
        <v>1293</v>
      </c>
      <c r="M394" t="s">
        <v>1293</v>
      </c>
      <c r="N394" t="s">
        <v>1294</v>
      </c>
      <c r="T394" t="str">
        <f>CONCATENATE(Table1[[#This Row],[Name]]," ",Table1[[#This Row],[Surname/Studio Name/Artistic Name]])</f>
        <v>Rachid Koraichi</v>
      </c>
    </row>
    <row r="395" spans="1:20" x14ac:dyDescent="0.35">
      <c r="A395">
        <v>394</v>
      </c>
      <c r="B395" t="s">
        <v>748</v>
      </c>
      <c r="C395" t="s">
        <v>749</v>
      </c>
      <c r="D395" t="s">
        <v>750</v>
      </c>
      <c r="E395" t="s">
        <v>1916</v>
      </c>
      <c r="F395" t="s">
        <v>20</v>
      </c>
      <c r="G395" t="s">
        <v>1916</v>
      </c>
      <c r="H395" t="s">
        <v>21</v>
      </c>
      <c r="J395">
        <v>1980</v>
      </c>
      <c r="K395">
        <f>2026-Table1[[#This Row],[Birthyear]]</f>
        <v>46</v>
      </c>
      <c r="L395" t="s">
        <v>1914</v>
      </c>
      <c r="M395" t="s">
        <v>1425</v>
      </c>
      <c r="N395" t="s">
        <v>1296</v>
      </c>
      <c r="P395">
        <v>2019</v>
      </c>
      <c r="Q395" t="s">
        <v>1344</v>
      </c>
      <c r="T395" t="str">
        <f>CONCATENATE(Table1[[#This Row],[Name]]," ",Table1[[#This Row],[Surname/Studio Name/Artistic Name]])</f>
        <v>Anna Korver</v>
      </c>
    </row>
    <row r="396" spans="1:20" x14ac:dyDescent="0.35">
      <c r="A396">
        <v>395</v>
      </c>
      <c r="B396" t="s">
        <v>751</v>
      </c>
      <c r="C396" t="s">
        <v>752</v>
      </c>
      <c r="D396" t="s">
        <v>1904</v>
      </c>
      <c r="E396" t="s">
        <v>1916</v>
      </c>
      <c r="F396" t="s">
        <v>20</v>
      </c>
      <c r="G396" t="s">
        <v>1916</v>
      </c>
      <c r="H396" t="s">
        <v>21</v>
      </c>
      <c r="I396" t="s">
        <v>22</v>
      </c>
      <c r="J396">
        <v>1970</v>
      </c>
      <c r="K396">
        <f>2026-Table1[[#This Row],[Birthyear]]</f>
        <v>56</v>
      </c>
      <c r="L396" t="s">
        <v>1663</v>
      </c>
      <c r="M396" t="s">
        <v>1663</v>
      </c>
      <c r="N396" t="s">
        <v>1291</v>
      </c>
      <c r="S396" t="s">
        <v>1664</v>
      </c>
      <c r="T396" t="str">
        <f>CONCATENATE(Table1[[#This Row],[Name]]," ",Table1[[#This Row],[Surname/Studio Name/Artistic Name]])</f>
        <v>Germaine Kruip</v>
      </c>
    </row>
    <row r="397" spans="1:20" x14ac:dyDescent="0.35">
      <c r="A397">
        <v>396</v>
      </c>
      <c r="B397" t="s">
        <v>753</v>
      </c>
      <c r="C397" t="s">
        <v>754</v>
      </c>
      <c r="D397" t="s">
        <v>480</v>
      </c>
      <c r="E397" t="s">
        <v>1916</v>
      </c>
      <c r="F397" t="s">
        <v>25</v>
      </c>
      <c r="G397" t="s">
        <v>1916</v>
      </c>
      <c r="H397" t="s">
        <v>26</v>
      </c>
      <c r="J397">
        <v>1987</v>
      </c>
      <c r="K397">
        <f>2026-Table1[[#This Row],[Birthyear]]</f>
        <v>39</v>
      </c>
      <c r="L397" t="s">
        <v>1900</v>
      </c>
      <c r="M397" t="s">
        <v>1317</v>
      </c>
      <c r="N397" t="s">
        <v>1296</v>
      </c>
      <c r="O397" t="s">
        <v>1665</v>
      </c>
      <c r="P397" t="s">
        <v>1666</v>
      </c>
      <c r="Q397" t="s">
        <v>1319</v>
      </c>
      <c r="R397" t="s">
        <v>1382</v>
      </c>
      <c r="S397" t="s">
        <v>1341</v>
      </c>
      <c r="T397" t="str">
        <f>CONCATENATE(Table1[[#This Row],[Name]]," ",Table1[[#This Row],[Surname/Studio Name/Artistic Name]])</f>
        <v>Jakob Kudsk Steesen​</v>
      </c>
    </row>
    <row r="398" spans="1:20" x14ac:dyDescent="0.35">
      <c r="A398">
        <v>397</v>
      </c>
      <c r="B398" t="s">
        <v>755</v>
      </c>
      <c r="C398" t="s">
        <v>756</v>
      </c>
      <c r="D398" t="s">
        <v>216</v>
      </c>
      <c r="E398" t="s">
        <v>1916</v>
      </c>
      <c r="F398" t="s">
        <v>20</v>
      </c>
      <c r="G398" t="s">
        <v>1916</v>
      </c>
      <c r="H398" t="s">
        <v>26</v>
      </c>
      <c r="J398">
        <v>1978</v>
      </c>
      <c r="K398">
        <f>2026-Table1[[#This Row],[Birthyear]]</f>
        <v>48</v>
      </c>
      <c r="L398" t="s">
        <v>1900</v>
      </c>
      <c r="M398" t="s">
        <v>1295</v>
      </c>
      <c r="N398" t="s">
        <v>1296</v>
      </c>
      <c r="O398" t="s">
        <v>1667</v>
      </c>
      <c r="P398">
        <v>2015</v>
      </c>
      <c r="Q398" t="s">
        <v>1371</v>
      </c>
      <c r="R398" t="s">
        <v>1467</v>
      </c>
      <c r="T398" t="str">
        <f>CONCATENATE(Table1[[#This Row],[Name]]," ",Table1[[#This Row],[Surname/Studio Name/Artistic Name]])</f>
        <v>Ryoichi Kurokawa</v>
      </c>
    </row>
    <row r="399" spans="1:20" x14ac:dyDescent="0.35">
      <c r="A399">
        <v>398</v>
      </c>
      <c r="B399" t="s">
        <v>757</v>
      </c>
      <c r="C399" t="s">
        <v>758</v>
      </c>
      <c r="D399" t="s">
        <v>216</v>
      </c>
      <c r="E399" t="s">
        <v>1916</v>
      </c>
      <c r="F399" t="s">
        <v>20</v>
      </c>
      <c r="G399" t="s">
        <v>1916</v>
      </c>
      <c r="H399" t="s">
        <v>21</v>
      </c>
      <c r="J399">
        <v>1929</v>
      </c>
      <c r="K399">
        <f>2026-Table1[[#This Row],[Birthyear]]</f>
        <v>97</v>
      </c>
      <c r="L399" t="s">
        <v>1588</v>
      </c>
      <c r="M399" t="s">
        <v>1588</v>
      </c>
      <c r="N399" t="s">
        <v>1309</v>
      </c>
      <c r="S399" t="s">
        <v>1668</v>
      </c>
      <c r="T399" t="str">
        <f>CONCATENATE(Table1[[#This Row],[Name]]," ",Table1[[#This Row],[Surname/Studio Name/Artistic Name]])</f>
        <v>Yayoi Kusama</v>
      </c>
    </row>
    <row r="400" spans="1:20" x14ac:dyDescent="0.35">
      <c r="A400">
        <v>399</v>
      </c>
      <c r="B400" t="s">
        <v>759</v>
      </c>
      <c r="D400" t="s">
        <v>1901</v>
      </c>
      <c r="E400" t="s">
        <v>1916</v>
      </c>
      <c r="F400" t="s">
        <v>25</v>
      </c>
      <c r="G400" t="s">
        <v>1916</v>
      </c>
      <c r="H400" t="s">
        <v>21</v>
      </c>
      <c r="I400" t="s">
        <v>22</v>
      </c>
      <c r="J400">
        <v>1986</v>
      </c>
      <c r="K400">
        <f>2026-Table1[[#This Row],[Birthyear]]</f>
        <v>40</v>
      </c>
      <c r="L400" t="s">
        <v>1290</v>
      </c>
      <c r="M400" t="s">
        <v>1290</v>
      </c>
      <c r="N400" t="s">
        <v>1296</v>
      </c>
      <c r="O400" t="s">
        <v>1669</v>
      </c>
      <c r="Q400" t="s">
        <v>1306</v>
      </c>
      <c r="R400" t="s">
        <v>1670</v>
      </c>
      <c r="S400" t="s">
        <v>1308</v>
      </c>
      <c r="T400" t="str">
        <f>CONCATENATE(Table1[[#This Row],[Name]]," ",Table1[[#This Row],[Surname/Studio Name/Artistic Name]])</f>
        <v xml:space="preserve"> Lakwena</v>
      </c>
    </row>
    <row r="401" spans="1:20" x14ac:dyDescent="0.35">
      <c r="A401">
        <v>400</v>
      </c>
      <c r="B401" t="s">
        <v>760</v>
      </c>
      <c r="C401" t="s">
        <v>761</v>
      </c>
      <c r="D401" t="s">
        <v>300</v>
      </c>
      <c r="E401" t="s">
        <v>1916</v>
      </c>
      <c r="F401" t="s">
        <v>20</v>
      </c>
      <c r="G401" t="s">
        <v>1916</v>
      </c>
      <c r="H401" t="s">
        <v>21</v>
      </c>
      <c r="J401">
        <v>1973</v>
      </c>
      <c r="K401">
        <f>2026-Table1[[#This Row],[Birthyear]]</f>
        <v>53</v>
      </c>
      <c r="L401" t="s">
        <v>1900</v>
      </c>
      <c r="M401" t="s">
        <v>1317</v>
      </c>
      <c r="N401" t="s">
        <v>1296</v>
      </c>
      <c r="O401" t="s">
        <v>1671</v>
      </c>
      <c r="P401" t="s">
        <v>1672</v>
      </c>
      <c r="Q401" t="s">
        <v>1350</v>
      </c>
      <c r="R401" t="s">
        <v>1392</v>
      </c>
      <c r="S401" t="s">
        <v>1341</v>
      </c>
      <c r="T401" t="str">
        <f>CONCATENATE(Table1[[#This Row],[Name]]," ",Table1[[#This Row],[Surname/Studio Name/Artistic Name]])</f>
        <v>Sophie Laly​</v>
      </c>
    </row>
    <row r="402" spans="1:20" x14ac:dyDescent="0.35">
      <c r="A402">
        <v>401</v>
      </c>
      <c r="B402" t="s">
        <v>762</v>
      </c>
      <c r="C402" t="s">
        <v>763</v>
      </c>
      <c r="D402" t="s">
        <v>300</v>
      </c>
      <c r="E402" t="s">
        <v>1916</v>
      </c>
      <c r="F402" t="s">
        <v>20</v>
      </c>
      <c r="G402" t="s">
        <v>1916</v>
      </c>
      <c r="H402" t="s">
        <v>26</v>
      </c>
      <c r="I402" t="s">
        <v>22</v>
      </c>
      <c r="J402">
        <v>1975</v>
      </c>
      <c r="K402">
        <f>2026-Table1[[#This Row],[Birthyear]]</f>
        <v>51</v>
      </c>
      <c r="L402" t="s">
        <v>1315</v>
      </c>
      <c r="M402" t="s">
        <v>1315</v>
      </c>
      <c r="N402" t="s">
        <v>1296</v>
      </c>
      <c r="O402" t="s">
        <v>1673</v>
      </c>
      <c r="Q402" t="s">
        <v>1376</v>
      </c>
      <c r="S402" t="s">
        <v>1511</v>
      </c>
      <c r="T402" t="str">
        <f>CONCATENATE(Table1[[#This Row],[Name]]," ",Table1[[#This Row],[Surname/Studio Name/Artistic Name]])</f>
        <v>Cyril Lancelin</v>
      </c>
    </row>
    <row r="403" spans="1:20" x14ac:dyDescent="0.35">
      <c r="A403">
        <v>402</v>
      </c>
      <c r="B403" t="s">
        <v>764</v>
      </c>
      <c r="C403" t="s">
        <v>765</v>
      </c>
      <c r="D403" t="s">
        <v>1891</v>
      </c>
      <c r="E403" t="s">
        <v>1916</v>
      </c>
      <c r="F403" t="s">
        <v>20</v>
      </c>
      <c r="G403" t="s">
        <v>1916</v>
      </c>
      <c r="H403" t="s">
        <v>26</v>
      </c>
      <c r="I403" t="s">
        <v>22</v>
      </c>
      <c r="J403">
        <v>1989</v>
      </c>
      <c r="K403">
        <f>2026-Table1[[#This Row],[Birthyear]]</f>
        <v>37</v>
      </c>
      <c r="L403" t="s">
        <v>1315</v>
      </c>
      <c r="M403" t="s">
        <v>1315</v>
      </c>
      <c r="N403" t="s">
        <v>1291</v>
      </c>
      <c r="S403" t="s">
        <v>1331</v>
      </c>
      <c r="T403" t="str">
        <f>CONCATENATE(Table1[[#This Row],[Name]]," ",Table1[[#This Row],[Surname/Studio Name/Artistic Name]])</f>
        <v>Benjamin Langholz</v>
      </c>
    </row>
    <row r="404" spans="1:20" x14ac:dyDescent="0.35">
      <c r="A404">
        <v>403</v>
      </c>
      <c r="B404" t="s">
        <v>766</v>
      </c>
      <c r="C404" t="s">
        <v>767</v>
      </c>
      <c r="D404" t="s">
        <v>300</v>
      </c>
      <c r="E404" t="s">
        <v>1916</v>
      </c>
      <c r="F404" t="s">
        <v>20</v>
      </c>
      <c r="G404" t="s">
        <v>1916</v>
      </c>
      <c r="H404" t="s">
        <v>26</v>
      </c>
      <c r="J404">
        <v>1979</v>
      </c>
      <c r="K404">
        <f>2026-Table1[[#This Row],[Birthyear]]</f>
        <v>47</v>
      </c>
      <c r="L404" t="s">
        <v>1315</v>
      </c>
      <c r="M404" t="s">
        <v>1315</v>
      </c>
      <c r="N404" t="s">
        <v>1291</v>
      </c>
      <c r="S404" t="s">
        <v>1511</v>
      </c>
      <c r="T404" t="str">
        <f>CONCATENATE(Table1[[#This Row],[Name]]," ",Table1[[#This Row],[Surname/Studio Name/Artistic Name]])</f>
        <v>Arnaud Lapierre</v>
      </c>
    </row>
    <row r="405" spans="1:20" x14ac:dyDescent="0.35">
      <c r="A405">
        <v>404</v>
      </c>
      <c r="B405" t="s">
        <v>768</v>
      </c>
      <c r="C405" t="s">
        <v>769</v>
      </c>
      <c r="D405" t="s">
        <v>300</v>
      </c>
      <c r="E405" t="s">
        <v>1916</v>
      </c>
      <c r="F405" t="s">
        <v>25</v>
      </c>
      <c r="G405" t="s">
        <v>1916</v>
      </c>
      <c r="H405" t="s">
        <v>21</v>
      </c>
      <c r="I405" t="s">
        <v>22</v>
      </c>
      <c r="J405">
        <v>1975</v>
      </c>
      <c r="K405">
        <f>2026-Table1[[#This Row],[Birthyear]]</f>
        <v>51</v>
      </c>
      <c r="L405" t="s">
        <v>1290</v>
      </c>
      <c r="M405" t="s">
        <v>1290</v>
      </c>
      <c r="N405" t="s">
        <v>1291</v>
      </c>
      <c r="S405" t="s">
        <v>1603</v>
      </c>
      <c r="T405" t="str">
        <f>CONCATENATE(Table1[[#This Row],[Name]]," ",Table1[[#This Row],[Surname/Studio Name/Artistic Name]])</f>
        <v>Eve Laroche Joubert</v>
      </c>
    </row>
    <row r="406" spans="1:20" x14ac:dyDescent="0.35">
      <c r="A406">
        <v>405</v>
      </c>
      <c r="B406" t="s">
        <v>770</v>
      </c>
      <c r="C406" t="s">
        <v>771</v>
      </c>
      <c r="D406" t="s">
        <v>300</v>
      </c>
      <c r="E406" t="s">
        <v>1916</v>
      </c>
      <c r="F406" t="s">
        <v>20</v>
      </c>
      <c r="G406" t="s">
        <v>1916</v>
      </c>
      <c r="H406" t="s">
        <v>26</v>
      </c>
      <c r="J406">
        <v>1949</v>
      </c>
      <c r="K406">
        <f>2026-Table1[[#This Row],[Birthyear]]</f>
        <v>77</v>
      </c>
      <c r="L406" t="s">
        <v>1900</v>
      </c>
      <c r="M406" t="s">
        <v>1300</v>
      </c>
      <c r="N406" t="s">
        <v>1296</v>
      </c>
      <c r="O406" t="s">
        <v>1674</v>
      </c>
      <c r="P406">
        <v>2022</v>
      </c>
      <c r="Q406" t="s">
        <v>1302</v>
      </c>
      <c r="R406" t="s">
        <v>1675</v>
      </c>
      <c r="T406" t="str">
        <f>CONCATENATE(Table1[[#This Row],[Name]]," ",Table1[[#This Row],[Surname/Studio Name/Artistic Name]])</f>
        <v>Bertrand Lavier</v>
      </c>
    </row>
    <row r="407" spans="1:20" x14ac:dyDescent="0.35">
      <c r="A407">
        <v>406</v>
      </c>
      <c r="B407" t="s">
        <v>772</v>
      </c>
      <c r="C407" t="s">
        <v>773</v>
      </c>
      <c r="D407" t="s">
        <v>290</v>
      </c>
      <c r="E407" t="s">
        <v>1916</v>
      </c>
      <c r="F407" t="s">
        <v>20</v>
      </c>
      <c r="G407" t="s">
        <v>1916</v>
      </c>
      <c r="H407" t="s">
        <v>26</v>
      </c>
      <c r="J407">
        <v>1928</v>
      </c>
      <c r="K407">
        <f>2026-Table1[[#This Row],[Birthyear]]</f>
        <v>98</v>
      </c>
      <c r="L407" t="s">
        <v>1900</v>
      </c>
      <c r="M407" t="s">
        <v>1310</v>
      </c>
      <c r="N407" t="s">
        <v>1296</v>
      </c>
      <c r="O407" t="s">
        <v>1676</v>
      </c>
      <c r="P407">
        <v>1962</v>
      </c>
      <c r="Q407" t="s">
        <v>1302</v>
      </c>
      <c r="R407" t="s">
        <v>1312</v>
      </c>
      <c r="S407" t="s">
        <v>1313</v>
      </c>
      <c r="T407" t="str">
        <f>CONCATENATE(Table1[[#This Row],[Name]]," ",Table1[[#This Row],[Surname/Studio Name/Artistic Name]])</f>
        <v>Julio Le Parc</v>
      </c>
    </row>
    <row r="408" spans="1:20" x14ac:dyDescent="0.35">
      <c r="A408">
        <v>407</v>
      </c>
      <c r="B408" t="s">
        <v>774</v>
      </c>
      <c r="C408" t="s">
        <v>775</v>
      </c>
      <c r="D408" t="s">
        <v>300</v>
      </c>
      <c r="E408" t="s">
        <v>1916</v>
      </c>
      <c r="F408" t="s">
        <v>20</v>
      </c>
      <c r="G408" t="s">
        <v>1916</v>
      </c>
      <c r="H408" t="s">
        <v>26</v>
      </c>
      <c r="I408" t="s">
        <v>22</v>
      </c>
      <c r="J408">
        <v>1952</v>
      </c>
      <c r="K408">
        <f>2026-Table1[[#This Row],[Birthyear]]</f>
        <v>74</v>
      </c>
      <c r="L408" t="s">
        <v>1290</v>
      </c>
      <c r="M408" t="s">
        <v>1290</v>
      </c>
      <c r="N408" t="s">
        <v>1296</v>
      </c>
      <c r="O408" t="s">
        <v>1677</v>
      </c>
      <c r="Q408" t="s">
        <v>1306</v>
      </c>
      <c r="R408" t="s">
        <v>1678</v>
      </c>
      <c r="S408" t="s">
        <v>1527</v>
      </c>
      <c r="T408" t="str">
        <f>CONCATENATE(Table1[[#This Row],[Name]]," ",Table1[[#This Row],[Surname/Studio Name/Artistic Name]])</f>
        <v>Ange Leccia</v>
      </c>
    </row>
    <row r="409" spans="1:20" x14ac:dyDescent="0.35">
      <c r="A409">
        <v>408</v>
      </c>
      <c r="B409" t="s">
        <v>776</v>
      </c>
      <c r="C409" t="s">
        <v>777</v>
      </c>
      <c r="D409" t="s">
        <v>1894</v>
      </c>
      <c r="E409" t="s">
        <v>1916</v>
      </c>
      <c r="F409" t="s">
        <v>20</v>
      </c>
      <c r="G409" t="s">
        <v>1916</v>
      </c>
      <c r="H409" t="s">
        <v>21</v>
      </c>
      <c r="J409">
        <v>1979</v>
      </c>
      <c r="K409">
        <f>2026-Table1[[#This Row],[Birthyear]]</f>
        <v>47</v>
      </c>
      <c r="L409" t="s">
        <v>1900</v>
      </c>
      <c r="M409" t="s">
        <v>1322</v>
      </c>
      <c r="N409" t="s">
        <v>1296</v>
      </c>
      <c r="O409" t="s">
        <v>1679</v>
      </c>
      <c r="P409" t="s">
        <v>1680</v>
      </c>
      <c r="Q409" t="s">
        <v>1302</v>
      </c>
      <c r="R409" t="s">
        <v>1312</v>
      </c>
      <c r="T409" t="str">
        <f>CONCATENATE(Table1[[#This Row],[Name]]," ",Table1[[#This Row],[Surname/Studio Name/Artistic Name]])</f>
        <v>Jiyen Lee</v>
      </c>
    </row>
    <row r="410" spans="1:20" x14ac:dyDescent="0.35">
      <c r="A410">
        <v>409</v>
      </c>
      <c r="B410" t="s">
        <v>776</v>
      </c>
      <c r="C410" t="s">
        <v>778</v>
      </c>
      <c r="D410" t="s">
        <v>366</v>
      </c>
      <c r="E410" t="s">
        <v>1916</v>
      </c>
      <c r="F410" t="s">
        <v>25</v>
      </c>
      <c r="G410" t="s">
        <v>1916</v>
      </c>
      <c r="H410" t="s">
        <v>21</v>
      </c>
      <c r="J410">
        <v>1954</v>
      </c>
      <c r="K410">
        <f>2026-Table1[[#This Row],[Birthyear]]</f>
        <v>72</v>
      </c>
      <c r="L410" t="s">
        <v>1293</v>
      </c>
      <c r="M410" t="s">
        <v>1293</v>
      </c>
      <c r="N410" t="s">
        <v>1294</v>
      </c>
      <c r="T410" t="str">
        <f>CONCATENATE(Table1[[#This Row],[Name]]," ",Table1[[#This Row],[Surname/Studio Name/Artistic Name]])</f>
        <v>Lindy Lee</v>
      </c>
    </row>
    <row r="411" spans="1:20" x14ac:dyDescent="0.35">
      <c r="A411">
        <v>410</v>
      </c>
      <c r="B411" t="s">
        <v>776</v>
      </c>
      <c r="C411" t="s">
        <v>779</v>
      </c>
      <c r="D411" t="s">
        <v>1903</v>
      </c>
      <c r="E411" t="s">
        <v>1916</v>
      </c>
      <c r="F411" t="s">
        <v>20</v>
      </c>
      <c r="G411" t="s">
        <v>1916</v>
      </c>
      <c r="H411" t="s">
        <v>21</v>
      </c>
      <c r="J411">
        <v>1964</v>
      </c>
      <c r="K411">
        <f>2026-Table1[[#This Row],[Birthyear]]</f>
        <v>62</v>
      </c>
      <c r="L411" t="s">
        <v>1914</v>
      </c>
      <c r="M411" t="s">
        <v>1425</v>
      </c>
      <c r="N411" t="s">
        <v>1296</v>
      </c>
      <c r="P411">
        <v>2019</v>
      </c>
      <c r="Q411" t="s">
        <v>1344</v>
      </c>
      <c r="T411" t="str">
        <f>CONCATENATE(Table1[[#This Row],[Name]]," ",Table1[[#This Row],[Surname/Studio Name/Artistic Name]])</f>
        <v>Zih-cing Lee</v>
      </c>
    </row>
    <row r="412" spans="1:20" x14ac:dyDescent="0.35">
      <c r="A412">
        <v>411</v>
      </c>
      <c r="B412" t="s">
        <v>780</v>
      </c>
      <c r="C412" t="s">
        <v>781</v>
      </c>
      <c r="D412" t="s">
        <v>262</v>
      </c>
      <c r="E412" t="s">
        <v>1916</v>
      </c>
      <c r="F412" t="s">
        <v>20</v>
      </c>
      <c r="G412" t="s">
        <v>1916</v>
      </c>
      <c r="H412" t="s">
        <v>21</v>
      </c>
      <c r="J412">
        <v>1961</v>
      </c>
      <c r="K412">
        <f>2026-Table1[[#This Row],[Birthyear]]</f>
        <v>65</v>
      </c>
      <c r="L412" t="s">
        <v>1900</v>
      </c>
      <c r="M412" t="s">
        <v>1300</v>
      </c>
      <c r="N412" t="s">
        <v>1296</v>
      </c>
      <c r="O412" t="s">
        <v>1681</v>
      </c>
      <c r="P412">
        <v>2022</v>
      </c>
      <c r="Q412" t="s">
        <v>1298</v>
      </c>
      <c r="R412" t="s">
        <v>1312</v>
      </c>
      <c r="S412" t="s">
        <v>1399</v>
      </c>
      <c r="T412" t="str">
        <f>CONCATENATE(Table1[[#This Row],[Name]]," ",Table1[[#This Row],[Surname/Studio Name/Artistic Name]])</f>
        <v>Jac Leirner</v>
      </c>
    </row>
    <row r="413" spans="1:20" x14ac:dyDescent="0.35">
      <c r="A413">
        <v>412</v>
      </c>
      <c r="B413" t="s">
        <v>782</v>
      </c>
      <c r="C413" t="s">
        <v>783</v>
      </c>
      <c r="D413" t="s">
        <v>300</v>
      </c>
      <c r="E413" t="s">
        <v>1916</v>
      </c>
      <c r="F413" t="s">
        <v>25</v>
      </c>
      <c r="G413" t="s">
        <v>1916</v>
      </c>
      <c r="H413" t="s">
        <v>26</v>
      </c>
      <c r="I413" t="s">
        <v>22</v>
      </c>
      <c r="J413">
        <v>1975</v>
      </c>
      <c r="K413">
        <f>2026-Table1[[#This Row],[Birthyear]]</f>
        <v>51</v>
      </c>
      <c r="L413" t="s">
        <v>1290</v>
      </c>
      <c r="M413" t="s">
        <v>1290</v>
      </c>
      <c r="N413" t="s">
        <v>1291</v>
      </c>
      <c r="S413" t="s">
        <v>1603</v>
      </c>
      <c r="T413" t="str">
        <f>CONCATENATE(Table1[[#This Row],[Name]]," ",Table1[[#This Row],[Surname/Studio Name/Artistic Name]])</f>
        <v>Sebastien Leon</v>
      </c>
    </row>
    <row r="414" spans="1:20" x14ac:dyDescent="0.35">
      <c r="A414">
        <v>413</v>
      </c>
      <c r="B414" t="s">
        <v>784</v>
      </c>
      <c r="C414" t="s">
        <v>785</v>
      </c>
      <c r="D414" t="s">
        <v>414</v>
      </c>
      <c r="E414" t="s">
        <v>1916</v>
      </c>
      <c r="F414" t="s">
        <v>20</v>
      </c>
      <c r="G414" t="s">
        <v>1916</v>
      </c>
      <c r="H414" t="s">
        <v>21</v>
      </c>
      <c r="I414" t="s">
        <v>22</v>
      </c>
      <c r="J414">
        <v>1976</v>
      </c>
      <c r="K414">
        <f>2026-Table1[[#This Row],[Birthyear]]</f>
        <v>50</v>
      </c>
      <c r="L414" t="s">
        <v>1290</v>
      </c>
      <c r="M414" t="s">
        <v>1290</v>
      </c>
      <c r="N414" t="s">
        <v>1296</v>
      </c>
      <c r="O414" t="s">
        <v>1682</v>
      </c>
      <c r="Q414" t="s">
        <v>1319</v>
      </c>
      <c r="R414" t="s">
        <v>1683</v>
      </c>
      <c r="S414" t="s">
        <v>1527</v>
      </c>
      <c r="T414" t="str">
        <f>CONCATENATE(Table1[[#This Row],[Name]]," ",Table1[[#This Row],[Surname/Studio Name/Artistic Name]])</f>
        <v>Glenda León</v>
      </c>
    </row>
    <row r="415" spans="1:20" x14ac:dyDescent="0.35">
      <c r="A415">
        <v>414</v>
      </c>
      <c r="B415" t="s">
        <v>786</v>
      </c>
      <c r="C415" t="s">
        <v>787</v>
      </c>
      <c r="D415" t="s">
        <v>300</v>
      </c>
      <c r="E415" t="s">
        <v>1916</v>
      </c>
      <c r="F415" t="s">
        <v>20</v>
      </c>
      <c r="G415" t="s">
        <v>1916</v>
      </c>
      <c r="H415" t="s">
        <v>26</v>
      </c>
      <c r="I415" t="s">
        <v>22</v>
      </c>
      <c r="J415">
        <v>1968</v>
      </c>
      <c r="K415">
        <f>2026-Table1[[#This Row],[Birthyear]]</f>
        <v>58</v>
      </c>
      <c r="L415" t="s">
        <v>1315</v>
      </c>
      <c r="M415" t="s">
        <v>1315</v>
      </c>
      <c r="N415" t="s">
        <v>1291</v>
      </c>
      <c r="S415" t="s">
        <v>1511</v>
      </c>
      <c r="T415" t="str">
        <f>CONCATENATE(Table1[[#This Row],[Name]]," ",Table1[[#This Row],[Surname/Studio Name/Artistic Name]])</f>
        <v>Vincent Leroy</v>
      </c>
    </row>
    <row r="416" spans="1:20" x14ac:dyDescent="0.35">
      <c r="A416">
        <v>415</v>
      </c>
      <c r="B416" t="s">
        <v>788</v>
      </c>
      <c r="C416" t="s">
        <v>382</v>
      </c>
      <c r="D416" t="s">
        <v>252</v>
      </c>
      <c r="E416" t="s">
        <v>1916</v>
      </c>
      <c r="F416" t="s">
        <v>20</v>
      </c>
      <c r="G416" t="s">
        <v>1916</v>
      </c>
      <c r="H416" t="s">
        <v>26</v>
      </c>
      <c r="J416">
        <v>1960</v>
      </c>
      <c r="K416">
        <f>2026-Table1[[#This Row],[Birthyear]]</f>
        <v>66</v>
      </c>
      <c r="L416" t="s">
        <v>1900</v>
      </c>
      <c r="M416" t="s">
        <v>1322</v>
      </c>
      <c r="N416" t="s">
        <v>1296</v>
      </c>
      <c r="O416" t="s">
        <v>1684</v>
      </c>
      <c r="P416">
        <v>2024</v>
      </c>
      <c r="Q416" t="s">
        <v>1454</v>
      </c>
      <c r="R416" t="s">
        <v>1455</v>
      </c>
      <c r="T416" t="str">
        <f>CONCATENATE(Table1[[#This Row],[Name]]," ",Table1[[#This Row],[Surname/Studio Name/Artistic Name]])</f>
        <v>Chris Levine​</v>
      </c>
    </row>
    <row r="417" spans="1:20" x14ac:dyDescent="0.35">
      <c r="A417">
        <v>416</v>
      </c>
      <c r="B417" t="s">
        <v>789</v>
      </c>
      <c r="C417" t="s">
        <v>232</v>
      </c>
      <c r="D417" t="s">
        <v>1891</v>
      </c>
      <c r="E417" t="s">
        <v>1916</v>
      </c>
      <c r="F417" t="s">
        <v>25</v>
      </c>
      <c r="G417" t="s">
        <v>1916</v>
      </c>
      <c r="H417" t="s">
        <v>26</v>
      </c>
      <c r="J417">
        <v>1946</v>
      </c>
      <c r="K417">
        <f>2026-Table1[[#This Row],[Birthyear]]</f>
        <v>80</v>
      </c>
      <c r="L417" t="s">
        <v>1293</v>
      </c>
      <c r="M417" t="s">
        <v>1293</v>
      </c>
      <c r="N417" t="s">
        <v>1294</v>
      </c>
      <c r="T417" t="str">
        <f>CONCATENATE(Table1[[#This Row],[Name]]," ",Table1[[#This Row],[Surname/Studio Name/Artistic Name]])</f>
        <v>Daniel Libeskind</v>
      </c>
    </row>
    <row r="418" spans="1:20" x14ac:dyDescent="0.35">
      <c r="A418">
        <v>417</v>
      </c>
      <c r="B418" t="s">
        <v>790</v>
      </c>
      <c r="C418" t="s">
        <v>475</v>
      </c>
      <c r="D418" t="s">
        <v>1903</v>
      </c>
      <c r="E418" t="s">
        <v>1916</v>
      </c>
      <c r="F418" t="s">
        <v>20</v>
      </c>
      <c r="G418" t="s">
        <v>1916</v>
      </c>
      <c r="H418" t="s">
        <v>26</v>
      </c>
      <c r="I418" t="s">
        <v>22</v>
      </c>
      <c r="J418">
        <v>1964</v>
      </c>
      <c r="K418">
        <f>2026-Table1[[#This Row],[Birthyear]]</f>
        <v>62</v>
      </c>
      <c r="L418" t="s">
        <v>1290</v>
      </c>
      <c r="M418" t="s">
        <v>1290</v>
      </c>
      <c r="N418" t="s">
        <v>1291</v>
      </c>
      <c r="S418" t="s">
        <v>1464</v>
      </c>
      <c r="T418" t="str">
        <f>CONCATENATE(Table1[[#This Row],[Name]]," ",Table1[[#This Row],[Surname/Studio Name/Artistic Name]])</f>
        <v>Michael Lin</v>
      </c>
    </row>
    <row r="419" spans="1:20" x14ac:dyDescent="0.35">
      <c r="A419">
        <v>418</v>
      </c>
      <c r="B419" t="s">
        <v>791</v>
      </c>
      <c r="C419" t="s">
        <v>792</v>
      </c>
      <c r="D419" t="s">
        <v>383</v>
      </c>
      <c r="E419" t="s">
        <v>1916</v>
      </c>
      <c r="F419" t="s">
        <v>20</v>
      </c>
      <c r="G419" t="s">
        <v>1916</v>
      </c>
      <c r="H419" t="s">
        <v>26</v>
      </c>
      <c r="J419">
        <v>1981</v>
      </c>
      <c r="K419">
        <f>2026-Table1[[#This Row],[Birthyear]]</f>
        <v>45</v>
      </c>
      <c r="L419" t="s">
        <v>1914</v>
      </c>
      <c r="M419" t="s">
        <v>1342</v>
      </c>
      <c r="N419" t="s">
        <v>1296</v>
      </c>
      <c r="O419" t="s">
        <v>1685</v>
      </c>
      <c r="P419">
        <v>2025</v>
      </c>
      <c r="Q419" t="s">
        <v>1344</v>
      </c>
      <c r="T419" t="str">
        <f>CONCATENATE(Table1[[#This Row],[Name]]," ",Table1[[#This Row],[Surname/Studio Name/Artistic Name]])</f>
        <v>Dangyong Liu</v>
      </c>
    </row>
    <row r="420" spans="1:20" x14ac:dyDescent="0.35">
      <c r="A420">
        <v>419</v>
      </c>
      <c r="B420" t="s">
        <v>791</v>
      </c>
      <c r="C420" t="s">
        <v>793</v>
      </c>
      <c r="D420" t="s">
        <v>383</v>
      </c>
      <c r="E420" t="s">
        <v>1916</v>
      </c>
      <c r="F420" t="s">
        <v>20</v>
      </c>
      <c r="G420" t="s">
        <v>1916</v>
      </c>
      <c r="H420" t="s">
        <v>21</v>
      </c>
      <c r="J420">
        <v>1976</v>
      </c>
      <c r="K420">
        <f>2026-Table1[[#This Row],[Birthyear]]</f>
        <v>50</v>
      </c>
      <c r="L420" t="s">
        <v>1914</v>
      </c>
      <c r="M420" t="s">
        <v>1396</v>
      </c>
      <c r="N420" t="s">
        <v>1296</v>
      </c>
      <c r="O420" t="s">
        <v>1686</v>
      </c>
      <c r="P420">
        <v>2020</v>
      </c>
      <c r="Q420" t="s">
        <v>1344</v>
      </c>
      <c r="T420" t="str">
        <f>CONCATENATE(Table1[[#This Row],[Name]]," ",Table1[[#This Row],[Surname/Studio Name/Artistic Name]])</f>
        <v>Yang Liu</v>
      </c>
    </row>
    <row r="421" spans="1:20" x14ac:dyDescent="0.35">
      <c r="A421">
        <v>420</v>
      </c>
      <c r="B421" t="s">
        <v>794</v>
      </c>
      <c r="C421" t="s">
        <v>795</v>
      </c>
      <c r="D421" t="s">
        <v>209</v>
      </c>
      <c r="E421" t="s">
        <v>1916</v>
      </c>
      <c r="F421" t="s">
        <v>20</v>
      </c>
      <c r="G421" t="s">
        <v>1916</v>
      </c>
      <c r="H421" t="s">
        <v>26</v>
      </c>
      <c r="J421">
        <v>1936</v>
      </c>
      <c r="K421">
        <f>2026-Table1[[#This Row],[Birthyear]]</f>
        <v>90</v>
      </c>
      <c r="L421" t="s">
        <v>1315</v>
      </c>
      <c r="M421" t="s">
        <v>1315</v>
      </c>
      <c r="N421" t="s">
        <v>1327</v>
      </c>
      <c r="S421" t="s">
        <v>1316</v>
      </c>
      <c r="T421" t="str">
        <f>CONCATENATE(Table1[[#This Row],[Name]]," ",Table1[[#This Row],[Surname/Studio Name/Artistic Name]])</f>
        <v>Antonio Lopez Garcia</v>
      </c>
    </row>
    <row r="422" spans="1:20" x14ac:dyDescent="0.35">
      <c r="A422">
        <v>421</v>
      </c>
      <c r="B422" t="s">
        <v>796</v>
      </c>
      <c r="C422" t="s">
        <v>797</v>
      </c>
      <c r="D422" t="s">
        <v>245</v>
      </c>
      <c r="E422" t="s">
        <v>1916</v>
      </c>
      <c r="F422" t="s">
        <v>20</v>
      </c>
      <c r="G422" t="s">
        <v>1916</v>
      </c>
      <c r="H422" t="s">
        <v>21</v>
      </c>
      <c r="I422" t="s">
        <v>22</v>
      </c>
      <c r="J422">
        <v>1992</v>
      </c>
      <c r="K422">
        <f>2026-Table1[[#This Row],[Birthyear]]</f>
        <v>34</v>
      </c>
      <c r="L422" t="s">
        <v>1290</v>
      </c>
      <c r="M422" t="s">
        <v>1290</v>
      </c>
      <c r="N422" t="s">
        <v>1291</v>
      </c>
      <c r="S422" t="s">
        <v>1565</v>
      </c>
      <c r="T422" t="str">
        <f>CONCATENATE(Table1[[#This Row],[Name]]," ",Table1[[#This Row],[Surname/Studio Name/Artistic Name]])</f>
        <v>Hola Lou</v>
      </c>
    </row>
    <row r="423" spans="1:20" x14ac:dyDescent="0.35">
      <c r="A423">
        <v>422</v>
      </c>
      <c r="B423" t="s">
        <v>798</v>
      </c>
      <c r="C423" t="s">
        <v>799</v>
      </c>
      <c r="D423" t="s">
        <v>219</v>
      </c>
      <c r="E423" t="s">
        <v>1916</v>
      </c>
      <c r="F423" t="s">
        <v>20</v>
      </c>
      <c r="G423" t="s">
        <v>1916</v>
      </c>
      <c r="H423" t="s">
        <v>26</v>
      </c>
      <c r="I423" t="s">
        <v>22</v>
      </c>
      <c r="J423">
        <v>1982</v>
      </c>
      <c r="K423">
        <f>2026-Table1[[#This Row],[Birthyear]]</f>
        <v>44</v>
      </c>
      <c r="L423" t="s">
        <v>1290</v>
      </c>
      <c r="M423" t="s">
        <v>1290</v>
      </c>
      <c r="N423" t="s">
        <v>1291</v>
      </c>
      <c r="S423" t="s">
        <v>1468</v>
      </c>
      <c r="T423" t="str">
        <f>CONCATENATE(Table1[[#This Row],[Name]]," ",Table1[[#This Row],[Surname/Studio Name/Artistic Name]])</f>
        <v>Maurice Louca</v>
      </c>
    </row>
    <row r="424" spans="1:20" x14ac:dyDescent="0.35">
      <c r="A424">
        <v>423</v>
      </c>
      <c r="B424" t="s">
        <v>800</v>
      </c>
      <c r="C424" t="s">
        <v>801</v>
      </c>
      <c r="D424" t="s">
        <v>1891</v>
      </c>
      <c r="E424" t="s">
        <v>1916</v>
      </c>
      <c r="F424" t="s">
        <v>20</v>
      </c>
      <c r="G424" t="s">
        <v>1916</v>
      </c>
      <c r="H424" t="s">
        <v>26</v>
      </c>
      <c r="I424" t="s">
        <v>22</v>
      </c>
      <c r="J424">
        <v>1958</v>
      </c>
      <c r="K424">
        <f>2026-Table1[[#This Row],[Birthyear]]</f>
        <v>68</v>
      </c>
      <c r="L424" t="s">
        <v>1290</v>
      </c>
      <c r="M424" t="s">
        <v>1290</v>
      </c>
      <c r="N424" t="s">
        <v>1291</v>
      </c>
      <c r="S424" t="s">
        <v>1687</v>
      </c>
      <c r="T424" t="str">
        <f>CONCATENATE(Table1[[#This Row],[Name]]," ",Table1[[#This Row],[Surname/Studio Name/Artistic Name]])</f>
        <v>Ross Lovegrove</v>
      </c>
    </row>
    <row r="425" spans="1:20" x14ac:dyDescent="0.35">
      <c r="A425">
        <v>424</v>
      </c>
      <c r="B425" t="s">
        <v>802</v>
      </c>
      <c r="C425" t="s">
        <v>264</v>
      </c>
      <c r="D425" t="s">
        <v>245</v>
      </c>
      <c r="E425" t="s">
        <v>1916</v>
      </c>
      <c r="F425" t="s">
        <v>25</v>
      </c>
      <c r="G425" t="s">
        <v>1916</v>
      </c>
      <c r="H425" t="s">
        <v>26</v>
      </c>
      <c r="J425">
        <v>1967</v>
      </c>
      <c r="K425">
        <f>2026-Table1[[#This Row],[Birthyear]]</f>
        <v>59</v>
      </c>
      <c r="L425" t="s">
        <v>1293</v>
      </c>
      <c r="M425" t="s">
        <v>1293</v>
      </c>
      <c r="N425" t="s">
        <v>1309</v>
      </c>
      <c r="T425" t="str">
        <f>CONCATENATE(Table1[[#This Row],[Name]]," ",Table1[[#This Row],[Surname/Studio Name/Artistic Name]])</f>
        <v>Rafael Lozano Hemmer</v>
      </c>
    </row>
    <row r="426" spans="1:20" x14ac:dyDescent="0.35">
      <c r="A426">
        <v>425</v>
      </c>
      <c r="B426" t="s">
        <v>803</v>
      </c>
      <c r="C426" t="s">
        <v>70</v>
      </c>
      <c r="D426" t="s">
        <v>219</v>
      </c>
      <c r="E426" t="s">
        <v>1916</v>
      </c>
      <c r="F426" t="s">
        <v>20</v>
      </c>
      <c r="G426" t="s">
        <v>1916</v>
      </c>
      <c r="H426" t="s">
        <v>21</v>
      </c>
      <c r="I426" t="s">
        <v>22</v>
      </c>
      <c r="J426">
        <v>1948</v>
      </c>
      <c r="K426">
        <f>2026-Table1[[#This Row],[Birthyear]]</f>
        <v>78</v>
      </c>
      <c r="L426" t="s">
        <v>1290</v>
      </c>
      <c r="M426" t="s">
        <v>1290</v>
      </c>
      <c r="N426" t="s">
        <v>1291</v>
      </c>
      <c r="S426" t="s">
        <v>1468</v>
      </c>
      <c r="T426" t="str">
        <f>CONCATENATE(Table1[[#This Row],[Name]]," ",Table1[[#This Row],[Surname/Studio Name/Artistic Name]])</f>
        <v>Huda Lutfi</v>
      </c>
    </row>
    <row r="427" spans="1:20" x14ac:dyDescent="0.35">
      <c r="A427">
        <v>426</v>
      </c>
      <c r="B427" t="s">
        <v>804</v>
      </c>
      <c r="C427" t="s">
        <v>266</v>
      </c>
      <c r="D427" t="s">
        <v>1896</v>
      </c>
      <c r="E427" t="s">
        <v>1916</v>
      </c>
      <c r="F427" t="s">
        <v>20</v>
      </c>
      <c r="G427" t="s">
        <v>1916</v>
      </c>
      <c r="H427" t="s">
        <v>26</v>
      </c>
      <c r="J427">
        <v>1972</v>
      </c>
      <c r="K427">
        <f>2026-Table1[[#This Row],[Birthyear]]</f>
        <v>54</v>
      </c>
      <c r="L427" t="s">
        <v>1315</v>
      </c>
      <c r="M427" t="s">
        <v>1315</v>
      </c>
      <c r="N427" t="s">
        <v>1327</v>
      </c>
      <c r="S427" t="s">
        <v>1331</v>
      </c>
      <c r="T427" t="str">
        <f>CONCATENATE(Table1[[#This Row],[Name]]," ",Table1[[#This Row],[Surname/Studio Name/Artistic Name]])</f>
        <v>Andrey Lyublinsky</v>
      </c>
    </row>
    <row r="428" spans="1:20" x14ac:dyDescent="0.35">
      <c r="A428">
        <v>427</v>
      </c>
      <c r="B428" t="s">
        <v>805</v>
      </c>
      <c r="C428" t="s">
        <v>806</v>
      </c>
      <c r="D428" t="s">
        <v>219</v>
      </c>
      <c r="E428" t="s">
        <v>1916</v>
      </c>
      <c r="F428" t="s">
        <v>20</v>
      </c>
      <c r="G428" t="s">
        <v>1916</v>
      </c>
      <c r="H428" t="s">
        <v>26</v>
      </c>
      <c r="I428" t="s">
        <v>22</v>
      </c>
      <c r="J428">
        <v>1977</v>
      </c>
      <c r="K428">
        <f>2026-Table1[[#This Row],[Birthyear]]</f>
        <v>49</v>
      </c>
      <c r="L428" t="s">
        <v>1290</v>
      </c>
      <c r="M428" t="s">
        <v>1290</v>
      </c>
      <c r="N428" t="s">
        <v>1291</v>
      </c>
      <c r="S428" t="s">
        <v>1687</v>
      </c>
      <c r="T428" t="str">
        <f>CONCATENATE(Table1[[#This Row],[Name]]," ",Table1[[#This Row],[Surname/Studio Name/Artistic Name]])</f>
        <v>Basim Magdy</v>
      </c>
    </row>
    <row r="429" spans="1:20" x14ac:dyDescent="0.35">
      <c r="A429">
        <v>428</v>
      </c>
      <c r="B429" t="s">
        <v>807</v>
      </c>
      <c r="C429" t="s">
        <v>808</v>
      </c>
      <c r="D429" t="s">
        <v>29</v>
      </c>
      <c r="E429" t="s">
        <v>1916</v>
      </c>
      <c r="F429" t="s">
        <v>25</v>
      </c>
      <c r="G429" t="s">
        <v>1916</v>
      </c>
      <c r="H429" t="s">
        <v>26</v>
      </c>
      <c r="J429">
        <v>1985</v>
      </c>
      <c r="K429">
        <f>2026-Table1[[#This Row],[Birthyear]]</f>
        <v>41</v>
      </c>
      <c r="L429" t="s">
        <v>1293</v>
      </c>
      <c r="M429" t="s">
        <v>1293</v>
      </c>
      <c r="N429" t="s">
        <v>1294</v>
      </c>
      <c r="T429" t="str">
        <f>CONCATENATE(Table1[[#This Row],[Name]]," ",Table1[[#This Row],[Surname/Studio Name/Artistic Name]])</f>
        <v>Eyad Maghazil</v>
      </c>
    </row>
    <row r="430" spans="1:20" x14ac:dyDescent="0.35">
      <c r="A430">
        <v>429</v>
      </c>
      <c r="B430" t="s">
        <v>809</v>
      </c>
      <c r="C430" t="s">
        <v>499</v>
      </c>
      <c r="D430" t="s">
        <v>242</v>
      </c>
      <c r="E430" t="s">
        <v>1916</v>
      </c>
      <c r="F430" t="s">
        <v>20</v>
      </c>
      <c r="G430" t="s">
        <v>1916</v>
      </c>
      <c r="H430" t="s">
        <v>26</v>
      </c>
      <c r="I430" t="s">
        <v>22</v>
      </c>
      <c r="J430">
        <v>1987</v>
      </c>
      <c r="K430">
        <f>2026-Table1[[#This Row],[Birthyear]]</f>
        <v>39</v>
      </c>
      <c r="L430" t="s">
        <v>1290</v>
      </c>
      <c r="M430" t="s">
        <v>1290</v>
      </c>
      <c r="N430" t="s">
        <v>1291</v>
      </c>
      <c r="S430" t="s">
        <v>1314</v>
      </c>
      <c r="T430" t="str">
        <f>CONCATENATE(Table1[[#This Row],[Name]]," ",Table1[[#This Row],[Surname/Studio Name/Artistic Name]])</f>
        <v>Ibrahim Mahama</v>
      </c>
    </row>
    <row r="431" spans="1:20" x14ac:dyDescent="0.35">
      <c r="A431">
        <v>430</v>
      </c>
      <c r="B431" t="s">
        <v>810</v>
      </c>
      <c r="C431" t="s">
        <v>811</v>
      </c>
      <c r="D431" t="s">
        <v>287</v>
      </c>
      <c r="E431" t="s">
        <v>1916</v>
      </c>
      <c r="F431" t="s">
        <v>20</v>
      </c>
      <c r="G431" t="s">
        <v>1916</v>
      </c>
      <c r="H431" t="s">
        <v>26</v>
      </c>
      <c r="J431">
        <v>1937</v>
      </c>
      <c r="K431">
        <f>2026-Table1[[#This Row],[Birthyear]]</f>
        <v>89</v>
      </c>
      <c r="L431" t="s">
        <v>1290</v>
      </c>
      <c r="M431" t="s">
        <v>1290</v>
      </c>
      <c r="N431" t="s">
        <v>1337</v>
      </c>
      <c r="S431" t="s">
        <v>1338</v>
      </c>
      <c r="T431" t="str">
        <f>CONCATENATE(Table1[[#This Row],[Name]]," ",Table1[[#This Row],[Surname/Studio Name/Artistic Name]])</f>
        <v>Nja Mahdaoui</v>
      </c>
    </row>
    <row r="432" spans="1:20" x14ac:dyDescent="0.35">
      <c r="A432">
        <v>431</v>
      </c>
      <c r="B432" t="s">
        <v>812</v>
      </c>
      <c r="C432" t="s">
        <v>718</v>
      </c>
      <c r="D432" t="s">
        <v>29</v>
      </c>
      <c r="E432" t="s">
        <v>1916</v>
      </c>
      <c r="F432" t="s">
        <v>20</v>
      </c>
      <c r="G432" t="s">
        <v>1916</v>
      </c>
      <c r="H432" t="s">
        <v>26</v>
      </c>
      <c r="I432" t="s">
        <v>22</v>
      </c>
      <c r="J432">
        <v>1992</v>
      </c>
      <c r="K432">
        <f>2026-Table1[[#This Row],[Birthyear]]</f>
        <v>34</v>
      </c>
      <c r="L432" t="s">
        <v>1290</v>
      </c>
      <c r="M432" t="s">
        <v>1290</v>
      </c>
      <c r="N432" t="s">
        <v>1296</v>
      </c>
      <c r="O432" t="s">
        <v>1688</v>
      </c>
      <c r="Q432" t="s">
        <v>1298</v>
      </c>
      <c r="R432" t="s">
        <v>1689</v>
      </c>
      <c r="S432" t="s">
        <v>1594</v>
      </c>
      <c r="T432" t="str">
        <f>CONCATENATE(Table1[[#This Row],[Name]]," ",Table1[[#This Row],[Surname/Studio Name/Artistic Name]])</f>
        <v>Khaled Makhshoush (Kld Pxl)</v>
      </c>
    </row>
    <row r="433" spans="1:20" x14ac:dyDescent="0.35">
      <c r="A433">
        <v>432</v>
      </c>
      <c r="B433" t="s">
        <v>813</v>
      </c>
      <c r="C433" t="s">
        <v>814</v>
      </c>
      <c r="D433" t="s">
        <v>29</v>
      </c>
      <c r="E433" t="s">
        <v>1916</v>
      </c>
      <c r="F433" t="s">
        <v>20</v>
      </c>
      <c r="G433" t="s">
        <v>1916</v>
      </c>
      <c r="H433" t="s">
        <v>21</v>
      </c>
      <c r="I433" t="s">
        <v>22</v>
      </c>
      <c r="J433">
        <v>1959</v>
      </c>
      <c r="K433">
        <f>2026-Table1[[#This Row],[Birthyear]]</f>
        <v>67</v>
      </c>
      <c r="L433" t="s">
        <v>1357</v>
      </c>
      <c r="M433" t="s">
        <v>1357</v>
      </c>
      <c r="N433" t="s">
        <v>1296</v>
      </c>
      <c r="O433" t="s">
        <v>1328</v>
      </c>
      <c r="Q433" t="s">
        <v>1690</v>
      </c>
      <c r="R433" t="s">
        <v>1691</v>
      </c>
      <c r="S433" t="s">
        <v>1692</v>
      </c>
      <c r="T433" t="str">
        <f>CONCATENATE(Table1[[#This Row],[Name]]," ",Table1[[#This Row],[Surname/Studio Name/Artistic Name]])</f>
        <v>Maha Malluh</v>
      </c>
    </row>
    <row r="434" spans="1:20" x14ac:dyDescent="0.35">
      <c r="A434">
        <v>433</v>
      </c>
      <c r="B434" t="s">
        <v>815</v>
      </c>
      <c r="C434" t="s">
        <v>816</v>
      </c>
      <c r="D434" t="s">
        <v>290</v>
      </c>
      <c r="E434" t="s">
        <v>1916</v>
      </c>
      <c r="F434" t="s">
        <v>20</v>
      </c>
      <c r="G434" t="s">
        <v>1916</v>
      </c>
      <c r="H434" t="s">
        <v>21</v>
      </c>
      <c r="I434" t="s">
        <v>22</v>
      </c>
      <c r="J434">
        <v>1949</v>
      </c>
      <c r="K434">
        <f>2026-Table1[[#This Row],[Birthyear]]</f>
        <v>77</v>
      </c>
      <c r="L434" t="s">
        <v>1315</v>
      </c>
      <c r="M434" t="s">
        <v>1315</v>
      </c>
      <c r="N434" t="s">
        <v>1296</v>
      </c>
      <c r="O434" t="s">
        <v>1693</v>
      </c>
      <c r="Q434" t="s">
        <v>1376</v>
      </c>
      <c r="S434" t="s">
        <v>1331</v>
      </c>
      <c r="T434" t="str">
        <f>CONCATENATE(Table1[[#This Row],[Name]]," ",Table1[[#This Row],[Surname/Studio Name/Artistic Name]])</f>
        <v>Teresa Mariana Maluf</v>
      </c>
    </row>
    <row r="435" spans="1:20" x14ac:dyDescent="0.35">
      <c r="A435">
        <v>434</v>
      </c>
      <c r="B435" t="s">
        <v>817</v>
      </c>
      <c r="C435" t="s">
        <v>818</v>
      </c>
      <c r="D435" t="s">
        <v>1891</v>
      </c>
      <c r="E435" t="s">
        <v>1916</v>
      </c>
      <c r="F435" t="s">
        <v>25</v>
      </c>
      <c r="G435" t="s">
        <v>1916</v>
      </c>
      <c r="H435" t="s">
        <v>26</v>
      </c>
      <c r="J435">
        <v>1961</v>
      </c>
      <c r="K435">
        <f>2026-Table1[[#This Row],[Birthyear]]</f>
        <v>65</v>
      </c>
      <c r="L435" t="s">
        <v>1293</v>
      </c>
      <c r="M435" t="s">
        <v>1293</v>
      </c>
      <c r="N435" t="s">
        <v>1309</v>
      </c>
      <c r="T435" t="str">
        <f>CONCATENATE(Table1[[#This Row],[Name]]," ",Table1[[#This Row],[Surname/Studio Name/Artistic Name]])</f>
        <v>Inigo Manglano-Ovalle</v>
      </c>
    </row>
    <row r="436" spans="1:20" x14ac:dyDescent="0.35">
      <c r="A436">
        <v>435</v>
      </c>
      <c r="B436" t="s">
        <v>819</v>
      </c>
      <c r="C436" t="s">
        <v>820</v>
      </c>
      <c r="D436" t="s">
        <v>821</v>
      </c>
      <c r="E436" t="s">
        <v>1916</v>
      </c>
      <c r="F436" t="s">
        <v>20</v>
      </c>
      <c r="G436" t="s">
        <v>1916</v>
      </c>
      <c r="H436" t="s">
        <v>26</v>
      </c>
      <c r="J436">
        <v>1976</v>
      </c>
      <c r="K436">
        <f>2026-Table1[[#This Row],[Birthyear]]</f>
        <v>50</v>
      </c>
      <c r="L436" t="s">
        <v>1900</v>
      </c>
      <c r="M436" t="s">
        <v>1317</v>
      </c>
      <c r="N436" t="s">
        <v>1296</v>
      </c>
      <c r="O436" t="s">
        <v>1694</v>
      </c>
      <c r="P436">
        <v>2023</v>
      </c>
      <c r="Q436" t="s">
        <v>1298</v>
      </c>
      <c r="R436" t="s">
        <v>1382</v>
      </c>
      <c r="S436" t="s">
        <v>1341</v>
      </c>
      <c r="T436" t="str">
        <f>CONCATENATE(Table1[[#This Row],[Name]]," ",Table1[[#This Row],[Surname/Studio Name/Artistic Name]])</f>
        <v>Guadalupe Maravilla​</v>
      </c>
    </row>
    <row r="437" spans="1:20" x14ac:dyDescent="0.35">
      <c r="A437">
        <v>436</v>
      </c>
      <c r="B437" t="s">
        <v>822</v>
      </c>
      <c r="C437" t="s">
        <v>823</v>
      </c>
      <c r="D437" t="s">
        <v>1904</v>
      </c>
      <c r="E437" t="s">
        <v>1916</v>
      </c>
      <c r="F437" t="s">
        <v>20</v>
      </c>
      <c r="G437" t="s">
        <v>1916</v>
      </c>
      <c r="H437" t="s">
        <v>21</v>
      </c>
      <c r="J437">
        <v>1985</v>
      </c>
      <c r="K437">
        <f>2026-Table1[[#This Row],[Birthyear]]</f>
        <v>41</v>
      </c>
      <c r="L437" t="s">
        <v>1900</v>
      </c>
      <c r="M437" t="s">
        <v>1300</v>
      </c>
      <c r="N437" t="s">
        <v>1296</v>
      </c>
      <c r="O437" t="s">
        <v>1695</v>
      </c>
      <c r="P437">
        <v>2022</v>
      </c>
      <c r="Q437" t="s">
        <v>1302</v>
      </c>
      <c r="R437" t="s">
        <v>1340</v>
      </c>
      <c r="S437" t="s">
        <v>1572</v>
      </c>
      <c r="T437" t="str">
        <f>CONCATENATE(Table1[[#This Row],[Name]]," ",Table1[[#This Row],[Surname/Studio Name/Artistic Name]])</f>
        <v>Sabine Marcelis</v>
      </c>
    </row>
    <row r="438" spans="1:20" x14ac:dyDescent="0.35">
      <c r="A438">
        <v>437</v>
      </c>
      <c r="B438" t="s">
        <v>824</v>
      </c>
      <c r="C438" t="s">
        <v>377</v>
      </c>
      <c r="D438" t="s">
        <v>1905</v>
      </c>
      <c r="E438" t="s">
        <v>1916</v>
      </c>
      <c r="F438" t="s">
        <v>20</v>
      </c>
      <c r="G438" t="s">
        <v>1916</v>
      </c>
      <c r="H438" t="s">
        <v>26</v>
      </c>
      <c r="I438" t="s">
        <v>22</v>
      </c>
      <c r="J438">
        <v>1970</v>
      </c>
      <c r="K438">
        <f>2026-Table1[[#This Row],[Birthyear]]</f>
        <v>56</v>
      </c>
      <c r="L438" t="s">
        <v>1290</v>
      </c>
      <c r="M438" t="s">
        <v>1290</v>
      </c>
      <c r="N438" t="s">
        <v>1291</v>
      </c>
      <c r="S438" t="s">
        <v>1422</v>
      </c>
      <c r="T438" t="str">
        <f>CONCATENATE(Table1[[#This Row],[Name]]," ",Table1[[#This Row],[Surname/Studio Name/Artistic Name]])</f>
        <v>Jose Margulis</v>
      </c>
    </row>
    <row r="439" spans="1:20" x14ac:dyDescent="0.35">
      <c r="A439">
        <v>438</v>
      </c>
      <c r="B439" t="s">
        <v>825</v>
      </c>
      <c r="C439" t="s">
        <v>826</v>
      </c>
      <c r="D439" t="s">
        <v>827</v>
      </c>
      <c r="E439" t="s">
        <v>1916</v>
      </c>
      <c r="F439" t="s">
        <v>20</v>
      </c>
      <c r="G439" t="s">
        <v>1916</v>
      </c>
      <c r="H439" t="s">
        <v>21</v>
      </c>
      <c r="I439" t="s">
        <v>22</v>
      </c>
      <c r="J439">
        <v>1954</v>
      </c>
      <c r="K439">
        <f>2026-Table1[[#This Row],[Birthyear]]</f>
        <v>72</v>
      </c>
      <c r="L439" t="s">
        <v>1290</v>
      </c>
      <c r="M439" t="s">
        <v>1290</v>
      </c>
      <c r="N439" t="s">
        <v>1291</v>
      </c>
      <c r="S439" t="s">
        <v>1468</v>
      </c>
      <c r="T439" t="str">
        <f>CONCATENATE(Table1[[#This Row],[Name]]," ",Table1[[#This Row],[Surname/Studio Name/Artistic Name]])</f>
        <v>Jenny Marketou</v>
      </c>
    </row>
    <row r="440" spans="1:20" x14ac:dyDescent="0.35">
      <c r="A440">
        <v>439</v>
      </c>
      <c r="B440" t="s">
        <v>828</v>
      </c>
      <c r="C440" t="s">
        <v>829</v>
      </c>
      <c r="D440" t="s">
        <v>338</v>
      </c>
      <c r="E440" t="s">
        <v>1916</v>
      </c>
      <c r="F440" t="s">
        <v>20</v>
      </c>
      <c r="G440" t="s">
        <v>1916</v>
      </c>
      <c r="H440" t="s">
        <v>21</v>
      </c>
      <c r="J440">
        <v>1977</v>
      </c>
      <c r="K440">
        <f>2026-Table1[[#This Row],[Birthyear]]</f>
        <v>49</v>
      </c>
      <c r="L440" t="s">
        <v>1900</v>
      </c>
      <c r="M440" t="s">
        <v>1317</v>
      </c>
      <c r="N440" t="s">
        <v>1296</v>
      </c>
      <c r="O440" t="s">
        <v>1696</v>
      </c>
      <c r="P440">
        <v>2023</v>
      </c>
      <c r="Q440" t="s">
        <v>1350</v>
      </c>
      <c r="R440" t="s">
        <v>1340</v>
      </c>
      <c r="S440" t="s">
        <v>1341</v>
      </c>
      <c r="T440" t="str">
        <f>CONCATENATE(Table1[[#This Row],[Name]]," ",Table1[[#This Row],[Surname/Studio Name/Artistic Name]])</f>
        <v>Angelika Markul​</v>
      </c>
    </row>
    <row r="441" spans="1:20" x14ac:dyDescent="0.35">
      <c r="A441">
        <v>440</v>
      </c>
      <c r="B441" t="s">
        <v>830</v>
      </c>
      <c r="C441" t="s">
        <v>831</v>
      </c>
      <c r="D441" t="s">
        <v>209</v>
      </c>
      <c r="E441" t="s">
        <v>1916</v>
      </c>
      <c r="F441" t="s">
        <v>20</v>
      </c>
      <c r="G441" t="s">
        <v>1916</v>
      </c>
      <c r="H441" t="s">
        <v>21</v>
      </c>
      <c r="J441">
        <v>1979</v>
      </c>
      <c r="K441">
        <f>2026-Table1[[#This Row],[Birthyear]]</f>
        <v>47</v>
      </c>
      <c r="L441" t="s">
        <v>1914</v>
      </c>
      <c r="M441" t="s">
        <v>1326</v>
      </c>
      <c r="N441" t="s">
        <v>1327</v>
      </c>
      <c r="T441" t="str">
        <f>CONCATENATE(Table1[[#This Row],[Name]]," ",Table1[[#This Row],[Surname/Studio Name/Artistic Name]])</f>
        <v>Rhea Marmentini</v>
      </c>
    </row>
    <row r="442" spans="1:20" x14ac:dyDescent="0.35">
      <c r="A442">
        <v>441</v>
      </c>
      <c r="B442" t="s">
        <v>832</v>
      </c>
      <c r="C442" t="s">
        <v>833</v>
      </c>
      <c r="D442" t="s">
        <v>300</v>
      </c>
      <c r="E442" t="s">
        <v>1916</v>
      </c>
      <c r="F442" t="s">
        <v>20</v>
      </c>
      <c r="G442" t="s">
        <v>1916</v>
      </c>
      <c r="H442" t="s">
        <v>26</v>
      </c>
      <c r="I442" t="s">
        <v>22</v>
      </c>
      <c r="J442">
        <v>1981</v>
      </c>
      <c r="K442">
        <f>2026-Table1[[#This Row],[Birthyear]]</f>
        <v>45</v>
      </c>
      <c r="L442" t="s">
        <v>1290</v>
      </c>
      <c r="M442" t="s">
        <v>1290</v>
      </c>
      <c r="N442" t="s">
        <v>1387</v>
      </c>
      <c r="O442" t="s">
        <v>1697</v>
      </c>
      <c r="Q442" t="s">
        <v>1547</v>
      </c>
      <c r="R442" t="s">
        <v>1698</v>
      </c>
      <c r="S442" t="s">
        <v>1508</v>
      </c>
      <c r="T442" t="str">
        <f>CONCATENATE(Table1[[#This Row],[Name]]," ",Table1[[#This Row],[Surname/Studio Name/Artistic Name]])</f>
        <v>Guillaume Marmin</v>
      </c>
    </row>
    <row r="443" spans="1:20" x14ac:dyDescent="0.35">
      <c r="A443">
        <v>442</v>
      </c>
      <c r="B443" t="s">
        <v>834</v>
      </c>
      <c r="C443" t="s">
        <v>835</v>
      </c>
      <c r="D443" t="s">
        <v>836</v>
      </c>
      <c r="E443" t="s">
        <v>1916</v>
      </c>
      <c r="F443" t="s">
        <v>20</v>
      </c>
      <c r="G443" t="s">
        <v>1916</v>
      </c>
      <c r="H443" t="s">
        <v>26</v>
      </c>
      <c r="J443">
        <v>1967</v>
      </c>
      <c r="K443">
        <f>2026-Table1[[#This Row],[Birthyear]]</f>
        <v>59</v>
      </c>
      <c r="L443" t="s">
        <v>1290</v>
      </c>
      <c r="M443" t="s">
        <v>1290</v>
      </c>
      <c r="N443" t="s">
        <v>1291</v>
      </c>
      <c r="S443" t="s">
        <v>1464</v>
      </c>
      <c r="T443" t="str">
        <f>CONCATENATE(Table1[[#This Row],[Name]]," ",Table1[[#This Row],[Surname/Studio Name/Artistic Name]])</f>
        <v>Pascale Marthine-Tayou</v>
      </c>
    </row>
    <row r="444" spans="1:20" x14ac:dyDescent="0.35">
      <c r="A444">
        <v>443</v>
      </c>
      <c r="B444" t="s">
        <v>837</v>
      </c>
      <c r="C444" t="s">
        <v>838</v>
      </c>
      <c r="D444" t="s">
        <v>209</v>
      </c>
      <c r="E444" t="s">
        <v>1916</v>
      </c>
      <c r="F444" t="s">
        <v>20</v>
      </c>
      <c r="G444" t="s">
        <v>1916</v>
      </c>
      <c r="H444" t="s">
        <v>21</v>
      </c>
      <c r="J444">
        <v>1957</v>
      </c>
      <c r="K444">
        <f>2026-Table1[[#This Row],[Birthyear]]</f>
        <v>69</v>
      </c>
      <c r="L444" t="s">
        <v>1315</v>
      </c>
      <c r="M444" t="s">
        <v>1315</v>
      </c>
      <c r="N444" t="s">
        <v>1327</v>
      </c>
      <c r="S444" t="s">
        <v>1316</v>
      </c>
      <c r="T444" t="str">
        <f>CONCATENATE(Table1[[#This Row],[Name]]," ",Table1[[#This Row],[Surname/Studio Name/Artistic Name]])</f>
        <v>Francesca Marti</v>
      </c>
    </row>
    <row r="445" spans="1:20" x14ac:dyDescent="0.35">
      <c r="A445">
        <v>444</v>
      </c>
      <c r="B445" t="s">
        <v>839</v>
      </c>
      <c r="C445" t="s">
        <v>840</v>
      </c>
      <c r="D445" t="s">
        <v>290</v>
      </c>
      <c r="E445" t="s">
        <v>1916</v>
      </c>
      <c r="F445" t="s">
        <v>20</v>
      </c>
      <c r="G445" t="s">
        <v>1916</v>
      </c>
      <c r="H445" t="s">
        <v>26</v>
      </c>
      <c r="J445">
        <v>1975</v>
      </c>
      <c r="K445">
        <f>2026-Table1[[#This Row],[Birthyear]]</f>
        <v>51</v>
      </c>
      <c r="L445" t="s">
        <v>1914</v>
      </c>
      <c r="M445" t="s">
        <v>1342</v>
      </c>
      <c r="N445" t="s">
        <v>1296</v>
      </c>
      <c r="O445" t="s">
        <v>1699</v>
      </c>
      <c r="P445">
        <v>2025</v>
      </c>
      <c r="Q445" t="s">
        <v>1344</v>
      </c>
      <c r="T445" t="str">
        <f>CONCATENATE(Table1[[#This Row],[Name]]," ",Table1[[#This Row],[Surname/Studio Name/Artistic Name]])</f>
        <v>Juan Pablo Marturano</v>
      </c>
    </row>
    <row r="446" spans="1:20" x14ac:dyDescent="0.35">
      <c r="A446">
        <v>445</v>
      </c>
      <c r="B446" t="s">
        <v>841</v>
      </c>
      <c r="C446" t="s">
        <v>842</v>
      </c>
      <c r="D446" t="s">
        <v>219</v>
      </c>
      <c r="E446" t="s">
        <v>1916</v>
      </c>
      <c r="F446" t="s">
        <v>20</v>
      </c>
      <c r="G446" t="s">
        <v>1916</v>
      </c>
      <c r="H446" t="s">
        <v>21</v>
      </c>
      <c r="I446" t="s">
        <v>22</v>
      </c>
      <c r="J446">
        <v>1968</v>
      </c>
      <c r="K446">
        <f>2026-Table1[[#This Row],[Birthyear]]</f>
        <v>58</v>
      </c>
      <c r="L446" t="s">
        <v>1290</v>
      </c>
      <c r="M446" t="s">
        <v>1290</v>
      </c>
      <c r="N446" t="s">
        <v>1291</v>
      </c>
      <c r="S446" t="s">
        <v>1700</v>
      </c>
      <c r="T446" t="str">
        <f>CONCATENATE(Table1[[#This Row],[Name]]," ",Table1[[#This Row],[Surname/Studio Name/Artistic Name]])</f>
        <v>Mona Marzouk</v>
      </c>
    </row>
    <row r="447" spans="1:20" x14ac:dyDescent="0.35">
      <c r="A447">
        <v>446</v>
      </c>
      <c r="B447" t="s">
        <v>843</v>
      </c>
      <c r="C447" t="s">
        <v>844</v>
      </c>
      <c r="D447" t="s">
        <v>29</v>
      </c>
      <c r="E447" t="s">
        <v>1916</v>
      </c>
      <c r="F447" t="s">
        <v>25</v>
      </c>
      <c r="G447" t="s">
        <v>1916</v>
      </c>
      <c r="H447" t="s">
        <v>26</v>
      </c>
      <c r="I447" t="s">
        <v>22</v>
      </c>
      <c r="J447">
        <v>1979</v>
      </c>
      <c r="K447">
        <f>2026-Table1[[#This Row],[Birthyear]]</f>
        <v>47</v>
      </c>
      <c r="L447" t="s">
        <v>1293</v>
      </c>
      <c r="M447" t="s">
        <v>1293</v>
      </c>
      <c r="N447" t="s">
        <v>1294</v>
      </c>
      <c r="T447" t="str">
        <f>CONCATENATE(Table1[[#This Row],[Name]]," ",Table1[[#This Row],[Surname/Studio Name/Artistic Name]])</f>
        <v>Ahmed Mater</v>
      </c>
    </row>
    <row r="448" spans="1:20" x14ac:dyDescent="0.35">
      <c r="A448">
        <v>447</v>
      </c>
      <c r="B448" t="s">
        <v>845</v>
      </c>
      <c r="D448" t="s">
        <v>1901</v>
      </c>
      <c r="E448" t="s">
        <v>1916</v>
      </c>
      <c r="F448" t="s">
        <v>20</v>
      </c>
      <c r="G448" t="s">
        <v>1916</v>
      </c>
      <c r="H448" t="s">
        <v>26</v>
      </c>
      <c r="J448">
        <v>1974</v>
      </c>
      <c r="K448">
        <f>2026-Table1[[#This Row],[Birthyear]]</f>
        <v>52</v>
      </c>
      <c r="L448" t="s">
        <v>1900</v>
      </c>
      <c r="M448" t="s">
        <v>1300</v>
      </c>
      <c r="N448" t="s">
        <v>1296</v>
      </c>
      <c r="O448" t="s">
        <v>1701</v>
      </c>
      <c r="P448">
        <v>2022</v>
      </c>
      <c r="Q448" t="s">
        <v>1302</v>
      </c>
      <c r="R448" t="s">
        <v>1312</v>
      </c>
      <c r="S448" t="s">
        <v>1399</v>
      </c>
      <c r="T448" t="str">
        <f>CONCATENATE(Table1[[#This Row],[Name]]," ",Table1[[#This Row],[Surname/Studio Name/Artistic Name]])</f>
        <v xml:space="preserve"> Matthew Clark - United Visual Artists (UVA)</v>
      </c>
    </row>
    <row r="449" spans="1:20" x14ac:dyDescent="0.35">
      <c r="A449">
        <v>448</v>
      </c>
      <c r="B449" t="s">
        <v>846</v>
      </c>
      <c r="C449" t="s">
        <v>847</v>
      </c>
      <c r="D449" t="s">
        <v>1893</v>
      </c>
      <c r="E449" t="s">
        <v>1916</v>
      </c>
      <c r="F449" t="s">
        <v>25</v>
      </c>
      <c r="G449" t="s">
        <v>1916</v>
      </c>
      <c r="H449" t="s">
        <v>21</v>
      </c>
      <c r="J449">
        <v>1929</v>
      </c>
      <c r="K449">
        <f>2026-Table1[[#This Row],[Birthyear]]</f>
        <v>97</v>
      </c>
      <c r="L449" t="s">
        <v>1293</v>
      </c>
      <c r="M449" t="s">
        <v>1293</v>
      </c>
      <c r="N449" t="s">
        <v>1309</v>
      </c>
      <c r="T449" t="str">
        <f>CONCATENATE(Table1[[#This Row],[Name]]," ",Table1[[#This Row],[Surname/Studio Name/Artistic Name]])</f>
        <v>Charlotte Mayer</v>
      </c>
    </row>
    <row r="450" spans="1:20" x14ac:dyDescent="0.35">
      <c r="A450">
        <v>449</v>
      </c>
      <c r="B450" t="s">
        <v>848</v>
      </c>
      <c r="C450" t="s">
        <v>849</v>
      </c>
      <c r="D450" t="s">
        <v>1891</v>
      </c>
      <c r="E450" t="s">
        <v>1916</v>
      </c>
      <c r="F450" t="s">
        <v>25</v>
      </c>
      <c r="G450" t="s">
        <v>1916</v>
      </c>
      <c r="H450" t="s">
        <v>26</v>
      </c>
      <c r="J450">
        <v>1977</v>
      </c>
      <c r="K450">
        <f>2026-Table1[[#This Row],[Birthyear]]</f>
        <v>49</v>
      </c>
      <c r="L450" t="s">
        <v>1293</v>
      </c>
      <c r="M450" t="s">
        <v>1293</v>
      </c>
      <c r="N450" t="s">
        <v>1309</v>
      </c>
      <c r="T450" t="str">
        <f>CONCATENATE(Table1[[#This Row],[Name]]," ",Table1[[#This Row],[Surname/Studio Name/Artistic Name]])</f>
        <v>Matthew Mazzotta</v>
      </c>
    </row>
    <row r="451" spans="1:20" x14ac:dyDescent="0.35">
      <c r="A451">
        <v>450</v>
      </c>
      <c r="B451" t="s">
        <v>850</v>
      </c>
      <c r="C451" t="s">
        <v>851</v>
      </c>
      <c r="D451" t="s">
        <v>1891</v>
      </c>
      <c r="E451" t="s">
        <v>1916</v>
      </c>
      <c r="F451" t="s">
        <v>25</v>
      </c>
      <c r="G451" t="s">
        <v>1916</v>
      </c>
      <c r="H451" t="s">
        <v>21</v>
      </c>
      <c r="J451">
        <v>1960</v>
      </c>
      <c r="K451">
        <f>2026-Table1[[#This Row],[Birthyear]]</f>
        <v>66</v>
      </c>
      <c r="L451" t="s">
        <v>1293</v>
      </c>
      <c r="M451" t="s">
        <v>1293</v>
      </c>
      <c r="N451" t="s">
        <v>1294</v>
      </c>
      <c r="T451" t="str">
        <f>CONCATENATE(Table1[[#This Row],[Name]]," ",Table1[[#This Row],[Surname/Studio Name/Artistic Name]])</f>
        <v>Rita Mcbride</v>
      </c>
    </row>
    <row r="452" spans="1:20" x14ac:dyDescent="0.35">
      <c r="A452">
        <v>451</v>
      </c>
      <c r="B452" t="s">
        <v>852</v>
      </c>
      <c r="C452" t="s">
        <v>853</v>
      </c>
      <c r="D452" t="s">
        <v>300</v>
      </c>
      <c r="E452" t="s">
        <v>1916</v>
      </c>
      <c r="F452" t="s">
        <v>20</v>
      </c>
      <c r="G452" t="s">
        <v>1916</v>
      </c>
      <c r="H452" t="s">
        <v>26</v>
      </c>
      <c r="I452" t="s">
        <v>22</v>
      </c>
      <c r="J452">
        <v>1970</v>
      </c>
      <c r="K452">
        <f>2026-Table1[[#This Row],[Birthyear]]</f>
        <v>56</v>
      </c>
      <c r="L452" t="s">
        <v>1290</v>
      </c>
      <c r="M452" t="s">
        <v>1290</v>
      </c>
      <c r="N452" t="s">
        <v>1296</v>
      </c>
      <c r="O452" t="s">
        <v>1702</v>
      </c>
      <c r="Q452" t="s">
        <v>1306</v>
      </c>
      <c r="R452" t="s">
        <v>1703</v>
      </c>
      <c r="S452" t="s">
        <v>1527</v>
      </c>
      <c r="T452" t="str">
        <f>CONCATENATE(Table1[[#This Row],[Name]]," ",Table1[[#This Row],[Surname/Studio Name/Artistic Name]])</f>
        <v>Mathieu Mercier</v>
      </c>
    </row>
    <row r="453" spans="1:20" x14ac:dyDescent="0.35">
      <c r="A453">
        <v>452</v>
      </c>
      <c r="B453" t="s">
        <v>854</v>
      </c>
      <c r="C453" t="s">
        <v>853</v>
      </c>
      <c r="D453" t="s">
        <v>300</v>
      </c>
      <c r="E453" t="s">
        <v>1916</v>
      </c>
      <c r="F453" t="s">
        <v>25</v>
      </c>
      <c r="G453" t="s">
        <v>1916</v>
      </c>
      <c r="H453" t="s">
        <v>26</v>
      </c>
      <c r="J453">
        <v>1990</v>
      </c>
      <c r="K453">
        <f>2026-Table1[[#This Row],[Birthyear]]</f>
        <v>36</v>
      </c>
      <c r="L453" t="s">
        <v>1293</v>
      </c>
      <c r="M453" t="s">
        <v>1293</v>
      </c>
      <c r="N453" t="s">
        <v>1294</v>
      </c>
      <c r="T453" t="str">
        <f>CONCATENATE(Table1[[#This Row],[Name]]," ",Table1[[#This Row],[Surname/Studio Name/Artistic Name]])</f>
        <v>Mathieu Merlet Briand</v>
      </c>
    </row>
    <row r="454" spans="1:20" x14ac:dyDescent="0.35">
      <c r="A454">
        <v>453</v>
      </c>
      <c r="B454" t="s">
        <v>855</v>
      </c>
      <c r="C454" t="s">
        <v>856</v>
      </c>
      <c r="D454" t="s">
        <v>209</v>
      </c>
      <c r="E454" t="s">
        <v>1916</v>
      </c>
      <c r="F454" t="s">
        <v>20</v>
      </c>
      <c r="G454" t="s">
        <v>1916</v>
      </c>
      <c r="H454" t="s">
        <v>26</v>
      </c>
      <c r="J454">
        <v>1968</v>
      </c>
      <c r="K454">
        <f>2026-Table1[[#This Row],[Birthyear]]</f>
        <v>58</v>
      </c>
      <c r="L454" t="s">
        <v>1914</v>
      </c>
      <c r="M454" t="s">
        <v>1326</v>
      </c>
      <c r="N454" t="s">
        <v>1296</v>
      </c>
      <c r="O454" t="s">
        <v>1704</v>
      </c>
      <c r="P454">
        <v>2023</v>
      </c>
      <c r="Q454" t="s">
        <v>1344</v>
      </c>
      <c r="T454" t="str">
        <f>CONCATENATE(Table1[[#This Row],[Name]]," ",Table1[[#This Row],[Surname/Studio Name/Artistic Name]])</f>
        <v>José Millán</v>
      </c>
    </row>
    <row r="455" spans="1:20" x14ac:dyDescent="0.35">
      <c r="A455">
        <v>454</v>
      </c>
      <c r="B455" t="s">
        <v>857</v>
      </c>
      <c r="C455" t="s">
        <v>858</v>
      </c>
      <c r="D455" t="s">
        <v>572</v>
      </c>
      <c r="E455" t="s">
        <v>1916</v>
      </c>
      <c r="F455" t="s">
        <v>20</v>
      </c>
      <c r="G455" t="s">
        <v>1916</v>
      </c>
      <c r="H455" t="s">
        <v>26</v>
      </c>
      <c r="J455">
        <v>1943</v>
      </c>
      <c r="K455">
        <f>2026-Table1[[#This Row],[Birthyear]]</f>
        <v>83</v>
      </c>
      <c r="L455" t="s">
        <v>1914</v>
      </c>
      <c r="M455" t="s">
        <v>1345</v>
      </c>
      <c r="N455" t="s">
        <v>1296</v>
      </c>
      <c r="O455" t="s">
        <v>1705</v>
      </c>
      <c r="P455">
        <v>2021</v>
      </c>
      <c r="Q455" t="s">
        <v>1344</v>
      </c>
      <c r="R455" t="s">
        <v>1299</v>
      </c>
      <c r="T455" t="str">
        <f>CONCATENATE(Table1[[#This Row],[Name]]," ",Table1[[#This Row],[Surname/Studio Name/Artistic Name]])</f>
        <v>Georgi Minchev</v>
      </c>
    </row>
    <row r="456" spans="1:20" x14ac:dyDescent="0.35">
      <c r="A456">
        <v>455</v>
      </c>
      <c r="B456" t="s">
        <v>859</v>
      </c>
      <c r="C456" t="s">
        <v>860</v>
      </c>
      <c r="D456" t="s">
        <v>1901</v>
      </c>
      <c r="E456" t="s">
        <v>1916</v>
      </c>
      <c r="F456" t="s">
        <v>20</v>
      </c>
      <c r="G456" t="s">
        <v>1916</v>
      </c>
      <c r="H456" t="s">
        <v>26</v>
      </c>
      <c r="J456">
        <v>1977</v>
      </c>
      <c r="K456">
        <f>2026-Table1[[#This Row],[Birthyear]]</f>
        <v>49</v>
      </c>
      <c r="L456" t="s">
        <v>1900</v>
      </c>
      <c r="M456" t="s">
        <v>1300</v>
      </c>
      <c r="N456" t="s">
        <v>1296</v>
      </c>
      <c r="O456" t="s">
        <v>1706</v>
      </c>
      <c r="P456">
        <v>2022</v>
      </c>
      <c r="Q456" t="s">
        <v>1348</v>
      </c>
      <c r="R456" t="s">
        <v>1312</v>
      </c>
      <c r="S456" t="s">
        <v>1399</v>
      </c>
      <c r="T456" t="str">
        <f>CONCATENATE(Table1[[#This Row],[Name]]," ",Table1[[#This Row],[Surname/Studio Name/Artistic Name]])</f>
        <v>Haroon Mirza</v>
      </c>
    </row>
    <row r="457" spans="1:20" x14ac:dyDescent="0.35">
      <c r="A457">
        <v>456</v>
      </c>
      <c r="B457" t="s">
        <v>861</v>
      </c>
      <c r="C457" t="s">
        <v>862</v>
      </c>
      <c r="D457" t="s">
        <v>300</v>
      </c>
      <c r="E457" t="s">
        <v>1916</v>
      </c>
      <c r="F457" t="s">
        <v>20</v>
      </c>
      <c r="G457" t="s">
        <v>1916</v>
      </c>
      <c r="H457" t="s">
        <v>26</v>
      </c>
      <c r="J457">
        <v>1981</v>
      </c>
      <c r="K457">
        <f>2026-Table1[[#This Row],[Birthyear]]</f>
        <v>45</v>
      </c>
      <c r="L457" t="s">
        <v>1315</v>
      </c>
      <c r="M457" t="s">
        <v>1315</v>
      </c>
      <c r="N457" t="s">
        <v>1327</v>
      </c>
      <c r="S457" t="s">
        <v>1511</v>
      </c>
      <c r="T457" t="str">
        <f>CONCATENATE(Table1[[#This Row],[Name]]," ",Table1[[#This Row],[Surname/Studio Name/Artistic Name]])</f>
        <v>Adrien Missika</v>
      </c>
    </row>
    <row r="458" spans="1:20" x14ac:dyDescent="0.35">
      <c r="A458">
        <v>457</v>
      </c>
      <c r="B458" t="s">
        <v>863</v>
      </c>
      <c r="D458" t="s">
        <v>300</v>
      </c>
      <c r="E458" t="s">
        <v>1916</v>
      </c>
      <c r="F458" t="s">
        <v>20</v>
      </c>
      <c r="G458" t="s">
        <v>1916</v>
      </c>
      <c r="H458" t="s">
        <v>21</v>
      </c>
      <c r="I458" t="s">
        <v>22</v>
      </c>
      <c r="J458">
        <v>1988</v>
      </c>
      <c r="K458">
        <f>2026-Table1[[#This Row],[Birthyear]]</f>
        <v>38</v>
      </c>
      <c r="L458" t="s">
        <v>1290</v>
      </c>
      <c r="M458" t="s">
        <v>1290</v>
      </c>
      <c r="N458" t="s">
        <v>1291</v>
      </c>
      <c r="S458" t="s">
        <v>1359</v>
      </c>
      <c r="T458" t="str">
        <f>CONCATENATE(Table1[[#This Row],[Name]]," ",Table1[[#This Row],[Surname/Studio Name/Artistic Name]])</f>
        <v xml:space="preserve"> Missy (Lisa Di Scala)</v>
      </c>
    </row>
    <row r="459" spans="1:20" x14ac:dyDescent="0.35">
      <c r="A459">
        <v>458</v>
      </c>
      <c r="B459" t="s">
        <v>864</v>
      </c>
      <c r="C459" t="s">
        <v>865</v>
      </c>
      <c r="D459" t="s">
        <v>866</v>
      </c>
      <c r="E459" t="s">
        <v>1916</v>
      </c>
      <c r="F459" t="s">
        <v>20</v>
      </c>
      <c r="G459" t="s">
        <v>1916</v>
      </c>
      <c r="H459" t="s">
        <v>26</v>
      </c>
      <c r="J459">
        <v>1976</v>
      </c>
      <c r="K459">
        <f>2026-Table1[[#This Row],[Birthyear]]</f>
        <v>50</v>
      </c>
      <c r="L459" t="s">
        <v>1914</v>
      </c>
      <c r="M459" t="s">
        <v>1326</v>
      </c>
      <c r="N459" t="s">
        <v>1327</v>
      </c>
      <c r="T459" t="str">
        <f>CONCATENATE(Table1[[#This Row],[Name]]," ",Table1[[#This Row],[Surname/Studio Name/Artistic Name]])</f>
        <v>Andrej Mitevski</v>
      </c>
    </row>
    <row r="460" spans="1:20" x14ac:dyDescent="0.35">
      <c r="A460">
        <v>459</v>
      </c>
      <c r="B460" t="s">
        <v>867</v>
      </c>
      <c r="C460" t="s">
        <v>868</v>
      </c>
      <c r="D460" t="s">
        <v>216</v>
      </c>
      <c r="E460" t="s">
        <v>1916</v>
      </c>
      <c r="F460" t="s">
        <v>20</v>
      </c>
      <c r="G460" t="s">
        <v>1916</v>
      </c>
      <c r="H460" t="s">
        <v>26</v>
      </c>
      <c r="I460" t="s">
        <v>22</v>
      </c>
      <c r="J460">
        <v>1958</v>
      </c>
      <c r="K460">
        <f>2026-Table1[[#This Row],[Birthyear]]</f>
        <v>68</v>
      </c>
      <c r="L460" t="s">
        <v>1290</v>
      </c>
      <c r="M460" t="s">
        <v>1290</v>
      </c>
      <c r="N460" t="s">
        <v>1291</v>
      </c>
      <c r="S460" t="s">
        <v>1707</v>
      </c>
      <c r="T460" t="str">
        <f>CONCATENATE(Table1[[#This Row],[Name]]," ",Table1[[#This Row],[Surname/Studio Name/Artistic Name]])</f>
        <v>Yoshiyuki Miura</v>
      </c>
    </row>
    <row r="461" spans="1:20" x14ac:dyDescent="0.35">
      <c r="A461">
        <v>460</v>
      </c>
      <c r="B461" t="s">
        <v>869</v>
      </c>
      <c r="C461" t="s">
        <v>870</v>
      </c>
      <c r="D461" t="s">
        <v>216</v>
      </c>
      <c r="E461" t="s">
        <v>1916</v>
      </c>
      <c r="F461" t="s">
        <v>25</v>
      </c>
      <c r="G461" t="s">
        <v>1916</v>
      </c>
      <c r="H461" t="s">
        <v>26</v>
      </c>
      <c r="I461" t="s">
        <v>22</v>
      </c>
      <c r="J461">
        <v>1983</v>
      </c>
      <c r="K461">
        <f>2026-Table1[[#This Row],[Birthyear]]</f>
        <v>43</v>
      </c>
      <c r="L461" t="s">
        <v>1290</v>
      </c>
      <c r="M461" t="s">
        <v>1290</v>
      </c>
      <c r="N461" t="s">
        <v>1296</v>
      </c>
      <c r="O461" t="s">
        <v>1708</v>
      </c>
      <c r="Q461" t="s">
        <v>1298</v>
      </c>
      <c r="R461" t="s">
        <v>1709</v>
      </c>
      <c r="S461" t="s">
        <v>1308</v>
      </c>
      <c r="T461" t="str">
        <f>CONCATENATE(Table1[[#This Row],[Name]]," ",Table1[[#This Row],[Surname/Studio Name/Artistic Name]])</f>
        <v>Keita Miyazaki</v>
      </c>
    </row>
    <row r="462" spans="1:20" x14ac:dyDescent="0.35">
      <c r="A462">
        <v>461</v>
      </c>
      <c r="B462" t="s">
        <v>871</v>
      </c>
      <c r="C462" t="s">
        <v>872</v>
      </c>
      <c r="D462" t="s">
        <v>245</v>
      </c>
      <c r="E462" t="s">
        <v>1916</v>
      </c>
      <c r="F462" t="s">
        <v>20</v>
      </c>
      <c r="G462" t="s">
        <v>1916</v>
      </c>
      <c r="H462" t="s">
        <v>26</v>
      </c>
      <c r="J462">
        <v>1947</v>
      </c>
      <c r="K462">
        <f>2026-Table1[[#This Row],[Birthyear]]</f>
        <v>79</v>
      </c>
      <c r="L462" t="s">
        <v>1914</v>
      </c>
      <c r="M462" t="s">
        <v>1425</v>
      </c>
      <c r="N462" t="s">
        <v>1296</v>
      </c>
      <c r="P462">
        <v>2019</v>
      </c>
      <c r="Q462" t="s">
        <v>1344</v>
      </c>
      <c r="T462" t="str">
        <f>CONCATENATE(Table1[[#This Row],[Name]]," ",Table1[[#This Row],[Surname/Studio Name/Artistic Name]])</f>
        <v>Carlos Monge</v>
      </c>
    </row>
    <row r="463" spans="1:20" x14ac:dyDescent="0.35">
      <c r="A463">
        <v>462</v>
      </c>
      <c r="B463" t="s">
        <v>873</v>
      </c>
      <c r="C463" t="s">
        <v>874</v>
      </c>
      <c r="D463" t="s">
        <v>1901</v>
      </c>
      <c r="E463" t="s">
        <v>1916</v>
      </c>
      <c r="F463" t="s">
        <v>20</v>
      </c>
      <c r="G463" t="s">
        <v>1916</v>
      </c>
      <c r="H463" t="s">
        <v>26</v>
      </c>
      <c r="J463">
        <v>1972</v>
      </c>
      <c r="K463">
        <f>2026-Table1[[#This Row],[Birthyear]]</f>
        <v>54</v>
      </c>
      <c r="L463" t="s">
        <v>1290</v>
      </c>
      <c r="M463" t="s">
        <v>1290</v>
      </c>
      <c r="N463" t="s">
        <v>1291</v>
      </c>
      <c r="S463" t="s">
        <v>1374</v>
      </c>
      <c r="T463" t="str">
        <f>CONCATENATE(Table1[[#This Row],[Name]]," ",Table1[[#This Row],[Surname/Studio Name/Artistic Name]])</f>
        <v>Robert Montgomery</v>
      </c>
    </row>
    <row r="464" spans="1:20" x14ac:dyDescent="0.35">
      <c r="A464">
        <v>463</v>
      </c>
      <c r="B464" t="s">
        <v>875</v>
      </c>
      <c r="C464" t="s">
        <v>876</v>
      </c>
      <c r="D464" t="s">
        <v>209</v>
      </c>
      <c r="E464" t="s">
        <v>1916</v>
      </c>
      <c r="F464" t="s">
        <v>20</v>
      </c>
      <c r="G464" t="s">
        <v>1916</v>
      </c>
      <c r="H464" t="s">
        <v>26</v>
      </c>
      <c r="J464">
        <v>1983</v>
      </c>
      <c r="K464">
        <f>2026-Table1[[#This Row],[Birthyear]]</f>
        <v>43</v>
      </c>
      <c r="L464" t="s">
        <v>1900</v>
      </c>
      <c r="M464" t="s">
        <v>1322</v>
      </c>
      <c r="N464" t="s">
        <v>1296</v>
      </c>
      <c r="O464" t="s">
        <v>1710</v>
      </c>
      <c r="P464">
        <v>2024</v>
      </c>
      <c r="Q464" t="s">
        <v>1334</v>
      </c>
      <c r="R464" t="s">
        <v>1299</v>
      </c>
      <c r="T464" t="str">
        <f>CONCATENATE(Table1[[#This Row],[Name]]," ",Table1[[#This Row],[Surname/Studio Name/Artistic Name]])</f>
        <v>Ricardo Morcillo</v>
      </c>
    </row>
    <row r="465" spans="1:20" x14ac:dyDescent="0.35">
      <c r="A465">
        <v>464</v>
      </c>
      <c r="B465" t="s">
        <v>877</v>
      </c>
      <c r="C465" t="s">
        <v>878</v>
      </c>
      <c r="D465" t="s">
        <v>216</v>
      </c>
      <c r="E465" t="s">
        <v>1916</v>
      </c>
      <c r="F465" t="s">
        <v>20</v>
      </c>
      <c r="G465" t="s">
        <v>1916</v>
      </c>
      <c r="H465" t="s">
        <v>26</v>
      </c>
      <c r="J465">
        <v>1983</v>
      </c>
      <c r="K465">
        <f>2026-Table1[[#This Row],[Birthyear]]</f>
        <v>43</v>
      </c>
      <c r="L465" t="s">
        <v>1900</v>
      </c>
      <c r="M465" t="s">
        <v>1322</v>
      </c>
      <c r="N465" t="s">
        <v>1296</v>
      </c>
      <c r="O465" t="s">
        <v>1711</v>
      </c>
      <c r="P465">
        <v>2024</v>
      </c>
      <c r="Q465" t="s">
        <v>1298</v>
      </c>
      <c r="R465" t="s">
        <v>1312</v>
      </c>
      <c r="T465" t="str">
        <f>CONCATENATE(Table1[[#This Row],[Name]]," ",Table1[[#This Row],[Surname/Studio Name/Artistic Name]])</f>
        <v>Takayuki Mori</v>
      </c>
    </row>
    <row r="466" spans="1:20" x14ac:dyDescent="0.35">
      <c r="A466">
        <v>465</v>
      </c>
      <c r="B466" t="s">
        <v>879</v>
      </c>
      <c r="C466" t="s">
        <v>880</v>
      </c>
      <c r="D466" t="s">
        <v>216</v>
      </c>
      <c r="E466" t="s">
        <v>1916</v>
      </c>
      <c r="F466" t="s">
        <v>20</v>
      </c>
      <c r="G466" t="s">
        <v>1916</v>
      </c>
      <c r="H466" t="s">
        <v>21</v>
      </c>
      <c r="J466">
        <v>1967</v>
      </c>
      <c r="K466">
        <f>2026-Table1[[#This Row],[Birthyear]]</f>
        <v>59</v>
      </c>
      <c r="L466" t="s">
        <v>1900</v>
      </c>
      <c r="M466" t="s">
        <v>1317</v>
      </c>
      <c r="N466" t="s">
        <v>1296</v>
      </c>
      <c r="O466" t="s">
        <v>1712</v>
      </c>
      <c r="P466">
        <v>2023</v>
      </c>
      <c r="Q466" t="s">
        <v>1319</v>
      </c>
      <c r="R466" t="s">
        <v>1392</v>
      </c>
      <c r="S466" t="s">
        <v>1341</v>
      </c>
      <c r="T466" t="str">
        <f>CONCATENATE(Table1[[#This Row],[Name]]," ",Table1[[#This Row],[Surname/Studio Name/Artistic Name]])</f>
        <v>Mariko Mori​</v>
      </c>
    </row>
    <row r="467" spans="1:20" x14ac:dyDescent="0.35">
      <c r="A467">
        <v>466</v>
      </c>
      <c r="B467" t="s">
        <v>881</v>
      </c>
      <c r="C467" t="s">
        <v>882</v>
      </c>
      <c r="D467" t="s">
        <v>883</v>
      </c>
      <c r="E467" t="s">
        <v>1916</v>
      </c>
      <c r="F467" t="s">
        <v>20</v>
      </c>
      <c r="G467" t="s">
        <v>1916</v>
      </c>
      <c r="H467" t="s">
        <v>26</v>
      </c>
      <c r="J467">
        <v>1988</v>
      </c>
      <c r="K467">
        <f>2026-Table1[[#This Row],[Birthyear]]</f>
        <v>38</v>
      </c>
      <c r="L467" t="s">
        <v>1914</v>
      </c>
      <c r="M467" t="s">
        <v>1361</v>
      </c>
      <c r="N467" t="s">
        <v>1296</v>
      </c>
      <c r="O467" t="s">
        <v>1713</v>
      </c>
      <c r="P467">
        <v>2024</v>
      </c>
      <c r="Q467" t="s">
        <v>1344</v>
      </c>
      <c r="R467" t="s">
        <v>1714</v>
      </c>
      <c r="T467" t="str">
        <f>CONCATENATE(Table1[[#This Row],[Name]]," ",Table1[[#This Row],[Surname/Studio Name/Artistic Name]])</f>
        <v>Butrint Morina</v>
      </c>
    </row>
    <row r="468" spans="1:20" x14ac:dyDescent="0.35">
      <c r="A468">
        <v>467</v>
      </c>
      <c r="B468" t="s">
        <v>884</v>
      </c>
      <c r="C468" t="s">
        <v>885</v>
      </c>
      <c r="D468" t="s">
        <v>1901</v>
      </c>
      <c r="E468" t="s">
        <v>1916</v>
      </c>
      <c r="F468" t="s">
        <v>25</v>
      </c>
      <c r="G468" t="s">
        <v>1916</v>
      </c>
      <c r="H468" t="s">
        <v>21</v>
      </c>
      <c r="J468">
        <v>1978</v>
      </c>
      <c r="K468">
        <f>2026-Table1[[#This Row],[Birthyear]]</f>
        <v>48</v>
      </c>
      <c r="L468" t="s">
        <v>1293</v>
      </c>
      <c r="M468" t="s">
        <v>1293</v>
      </c>
      <c r="N468" t="s">
        <v>1294</v>
      </c>
      <c r="T468" t="str">
        <f>CONCATENATE(Table1[[#This Row],[Name]]," ",Table1[[#This Row],[Surname/Studio Name/Artistic Name]])</f>
        <v>Annie Morris</v>
      </c>
    </row>
    <row r="469" spans="1:20" x14ac:dyDescent="0.35">
      <c r="A469">
        <v>468</v>
      </c>
      <c r="B469" t="s">
        <v>884</v>
      </c>
      <c r="C469" t="s">
        <v>38</v>
      </c>
      <c r="D469" t="s">
        <v>1891</v>
      </c>
      <c r="E469" t="s">
        <v>1916</v>
      </c>
      <c r="F469" t="s">
        <v>20</v>
      </c>
      <c r="G469" t="s">
        <v>1916</v>
      </c>
      <c r="H469" t="s">
        <v>21</v>
      </c>
      <c r="I469" t="s">
        <v>22</v>
      </c>
      <c r="J469">
        <v>1967</v>
      </c>
      <c r="K469">
        <f>2026-Table1[[#This Row],[Birthyear]]</f>
        <v>59</v>
      </c>
      <c r="L469" t="s">
        <v>1290</v>
      </c>
      <c r="M469" t="s">
        <v>1290</v>
      </c>
      <c r="N469" t="s">
        <v>1291</v>
      </c>
      <c r="S469" t="s">
        <v>1321</v>
      </c>
      <c r="T469" t="str">
        <f>CONCATENATE(Table1[[#This Row],[Name]]," ",Table1[[#This Row],[Surname/Studio Name/Artistic Name]])</f>
        <v>Sarah Morris</v>
      </c>
    </row>
    <row r="470" spans="1:20" x14ac:dyDescent="0.35">
      <c r="A470">
        <v>469</v>
      </c>
      <c r="B470" t="s">
        <v>886</v>
      </c>
      <c r="C470" t="s">
        <v>887</v>
      </c>
      <c r="D470" t="s">
        <v>29</v>
      </c>
      <c r="E470" t="s">
        <v>1916</v>
      </c>
      <c r="F470" t="s">
        <v>25</v>
      </c>
      <c r="G470" t="s">
        <v>1916</v>
      </c>
      <c r="H470" t="s">
        <v>21</v>
      </c>
      <c r="J470">
        <v>1995</v>
      </c>
      <c r="K470">
        <f>2026-Table1[[#This Row],[Birthyear]]</f>
        <v>31</v>
      </c>
      <c r="L470" t="s">
        <v>1293</v>
      </c>
      <c r="M470" t="s">
        <v>1293</v>
      </c>
      <c r="N470" t="s">
        <v>1294</v>
      </c>
      <c r="T470" t="str">
        <f>CONCATENATE(Table1[[#This Row],[Name]]," ",Table1[[#This Row],[Surname/Studio Name/Artistic Name]])</f>
        <v>Mawadah Muhtasib</v>
      </c>
    </row>
    <row r="471" spans="1:20" x14ac:dyDescent="0.35">
      <c r="A471">
        <v>470</v>
      </c>
      <c r="B471" t="s">
        <v>888</v>
      </c>
      <c r="C471" t="s">
        <v>889</v>
      </c>
      <c r="D471" t="s">
        <v>216</v>
      </c>
      <c r="E471" t="s">
        <v>1916</v>
      </c>
      <c r="F471" t="s">
        <v>25</v>
      </c>
      <c r="G471" t="s">
        <v>1916</v>
      </c>
      <c r="H471" t="s">
        <v>26</v>
      </c>
      <c r="J471">
        <v>1962</v>
      </c>
      <c r="K471">
        <f>2026-Table1[[#This Row],[Birthyear]]</f>
        <v>64</v>
      </c>
      <c r="L471" t="s">
        <v>1588</v>
      </c>
      <c r="M471" t="s">
        <v>1588</v>
      </c>
      <c r="N471" t="s">
        <v>1296</v>
      </c>
      <c r="O471" t="s">
        <v>1715</v>
      </c>
      <c r="Q471" t="s">
        <v>1344</v>
      </c>
      <c r="S471" t="s">
        <v>1648</v>
      </c>
      <c r="T471" t="str">
        <f>CONCATENATE(Table1[[#This Row],[Name]]," ",Table1[[#This Row],[Surname/Studio Name/Artistic Name]])</f>
        <v>Takashi Murakami</v>
      </c>
    </row>
    <row r="472" spans="1:20" x14ac:dyDescent="0.35">
      <c r="A472">
        <v>471</v>
      </c>
      <c r="B472" t="s">
        <v>890</v>
      </c>
      <c r="C472" t="s">
        <v>891</v>
      </c>
      <c r="D472" t="s">
        <v>827</v>
      </c>
      <c r="E472" t="s">
        <v>1916</v>
      </c>
      <c r="F472" t="s">
        <v>20</v>
      </c>
      <c r="G472" t="s">
        <v>1916</v>
      </c>
      <c r="H472" t="s">
        <v>26</v>
      </c>
      <c r="J472">
        <v>1963</v>
      </c>
      <c r="K472">
        <f>2026-Table1[[#This Row],[Birthyear]]</f>
        <v>63</v>
      </c>
      <c r="L472" t="s">
        <v>1914</v>
      </c>
      <c r="M472" t="s">
        <v>1396</v>
      </c>
      <c r="N472" t="s">
        <v>1296</v>
      </c>
      <c r="O472" t="s">
        <v>1716</v>
      </c>
      <c r="P472">
        <v>2020</v>
      </c>
      <c r="Q472" t="s">
        <v>1344</v>
      </c>
      <c r="T472" t="str">
        <f>CONCATENATE(Table1[[#This Row],[Name]]," ",Table1[[#This Row],[Surname/Studio Name/Artistic Name]])</f>
        <v>Antonis Myrodias</v>
      </c>
    </row>
    <row r="473" spans="1:20" x14ac:dyDescent="0.35">
      <c r="A473">
        <v>472</v>
      </c>
      <c r="B473" t="s">
        <v>892</v>
      </c>
      <c r="C473" t="s">
        <v>893</v>
      </c>
      <c r="D473" t="s">
        <v>894</v>
      </c>
      <c r="E473" t="s">
        <v>1916</v>
      </c>
      <c r="F473" t="s">
        <v>20</v>
      </c>
      <c r="G473" t="s">
        <v>1916</v>
      </c>
      <c r="H473" t="s">
        <v>21</v>
      </c>
      <c r="J473">
        <v>1971</v>
      </c>
      <c r="K473">
        <f>2026-Table1[[#This Row],[Birthyear]]</f>
        <v>55</v>
      </c>
      <c r="L473" t="s">
        <v>1914</v>
      </c>
      <c r="M473" t="s">
        <v>1326</v>
      </c>
      <c r="N473" t="s">
        <v>1296</v>
      </c>
      <c r="O473" t="s">
        <v>1717</v>
      </c>
      <c r="P473">
        <v>2023</v>
      </c>
      <c r="Q473" t="s">
        <v>1344</v>
      </c>
      <c r="T473" t="str">
        <f>CONCATENATE(Table1[[#This Row],[Name]]," ",Table1[[#This Row],[Surname/Studio Name/Artistic Name]])</f>
        <v>Lyudmyla Mysko</v>
      </c>
    </row>
    <row r="474" spans="1:20" x14ac:dyDescent="0.35">
      <c r="A474">
        <v>473</v>
      </c>
      <c r="B474" t="s">
        <v>895</v>
      </c>
      <c r="C474" t="s">
        <v>896</v>
      </c>
      <c r="D474" t="s">
        <v>897</v>
      </c>
      <c r="E474" t="s">
        <v>1916</v>
      </c>
      <c r="F474" t="s">
        <v>20</v>
      </c>
      <c r="G474" t="s">
        <v>1916</v>
      </c>
      <c r="H474" t="s">
        <v>21</v>
      </c>
      <c r="I474" t="s">
        <v>22</v>
      </c>
      <c r="J474">
        <v>1988</v>
      </c>
      <c r="K474">
        <f>2026-Table1[[#This Row],[Birthyear]]</f>
        <v>38</v>
      </c>
      <c r="L474" t="s">
        <v>1290</v>
      </c>
      <c r="M474" t="s">
        <v>1290</v>
      </c>
      <c r="N474" t="s">
        <v>1291</v>
      </c>
      <c r="S474" t="s">
        <v>1718</v>
      </c>
      <c r="T474" t="str">
        <f>CONCATENATE(Table1[[#This Row],[Name]]," ",Table1[[#This Row],[Surname/Studio Name/Artistic Name]])</f>
        <v>Yana Naidenov</v>
      </c>
    </row>
    <row r="475" spans="1:20" x14ac:dyDescent="0.35">
      <c r="A475">
        <v>474</v>
      </c>
      <c r="B475" t="s">
        <v>898</v>
      </c>
      <c r="C475" t="s">
        <v>899</v>
      </c>
      <c r="D475" t="s">
        <v>216</v>
      </c>
      <c r="E475" t="s">
        <v>1916</v>
      </c>
      <c r="F475" t="s">
        <v>20</v>
      </c>
      <c r="G475" t="s">
        <v>1916</v>
      </c>
      <c r="H475" t="s">
        <v>26</v>
      </c>
      <c r="J475">
        <v>1976</v>
      </c>
      <c r="K475">
        <f>2026-Table1[[#This Row],[Birthyear]]</f>
        <v>50</v>
      </c>
      <c r="L475" t="s">
        <v>1914</v>
      </c>
      <c r="M475" t="s">
        <v>1326</v>
      </c>
      <c r="N475" t="s">
        <v>1327</v>
      </c>
      <c r="T475" t="str">
        <f>CONCATENATE(Table1[[#This Row],[Name]]," ",Table1[[#This Row],[Surname/Studio Name/Artistic Name]])</f>
        <v>A. Kei Nakamura</v>
      </c>
    </row>
    <row r="476" spans="1:20" x14ac:dyDescent="0.35">
      <c r="A476">
        <v>475</v>
      </c>
      <c r="B476" t="s">
        <v>900</v>
      </c>
      <c r="C476" t="s">
        <v>901</v>
      </c>
      <c r="D476" t="s">
        <v>219</v>
      </c>
      <c r="E476" t="s">
        <v>1916</v>
      </c>
      <c r="F476" t="s">
        <v>20</v>
      </c>
      <c r="G476" t="s">
        <v>1916</v>
      </c>
      <c r="H476" t="s">
        <v>26</v>
      </c>
      <c r="I476" t="s">
        <v>22</v>
      </c>
      <c r="J476">
        <v>1961</v>
      </c>
      <c r="K476">
        <f>2026-Table1[[#This Row],[Birthyear]]</f>
        <v>65</v>
      </c>
      <c r="L476" t="s">
        <v>1290</v>
      </c>
      <c r="M476" t="s">
        <v>1290</v>
      </c>
      <c r="N476" t="s">
        <v>1291</v>
      </c>
      <c r="S476" t="s">
        <v>1719</v>
      </c>
      <c r="T476" t="str">
        <f>CONCATENATE(Table1[[#This Row],[Name]]," ",Table1[[#This Row],[Surname/Studio Name/Artistic Name]])</f>
        <v>Moataz Nasr</v>
      </c>
    </row>
    <row r="477" spans="1:20" x14ac:dyDescent="0.35">
      <c r="A477">
        <v>476</v>
      </c>
      <c r="B477" t="s">
        <v>902</v>
      </c>
      <c r="C477" t="s">
        <v>41</v>
      </c>
      <c r="D477" t="s">
        <v>1891</v>
      </c>
      <c r="E477" t="s">
        <v>1916</v>
      </c>
      <c r="F477" t="s">
        <v>20</v>
      </c>
      <c r="G477" t="s">
        <v>1916</v>
      </c>
      <c r="H477" t="s">
        <v>26</v>
      </c>
      <c r="J477">
        <v>1985</v>
      </c>
      <c r="K477">
        <f>2026-Table1[[#This Row],[Birthyear]]</f>
        <v>41</v>
      </c>
      <c r="L477" t="s">
        <v>1290</v>
      </c>
      <c r="M477" t="s">
        <v>1290</v>
      </c>
      <c r="N477" t="s">
        <v>1291</v>
      </c>
      <c r="S477" t="s">
        <v>1487</v>
      </c>
      <c r="T477" t="str">
        <f>CONCATENATE(Table1[[#This Row],[Name]]," ",Table1[[#This Row],[Surname/Studio Name/Artistic Name]])</f>
        <v>Jordan Nassar</v>
      </c>
    </row>
    <row r="478" spans="1:20" x14ac:dyDescent="0.35">
      <c r="A478">
        <v>477</v>
      </c>
      <c r="B478" t="s">
        <v>903</v>
      </c>
      <c r="C478" t="s">
        <v>904</v>
      </c>
      <c r="D478" t="s">
        <v>905</v>
      </c>
      <c r="E478" t="s">
        <v>1916</v>
      </c>
      <c r="F478" t="s">
        <v>20</v>
      </c>
      <c r="G478" t="s">
        <v>1916</v>
      </c>
      <c r="H478" t="s">
        <v>26</v>
      </c>
      <c r="I478" t="s">
        <v>22</v>
      </c>
      <c r="J478">
        <v>1972</v>
      </c>
      <c r="K478">
        <f>2026-Table1[[#This Row],[Birthyear]]</f>
        <v>54</v>
      </c>
      <c r="L478" t="s">
        <v>1900</v>
      </c>
      <c r="M478" t="s">
        <v>1310</v>
      </c>
      <c r="N478" t="s">
        <v>1296</v>
      </c>
      <c r="O478" t="s">
        <v>1720</v>
      </c>
      <c r="P478">
        <v>2018</v>
      </c>
      <c r="Q478" t="s">
        <v>1302</v>
      </c>
      <c r="R478" t="s">
        <v>1312</v>
      </c>
      <c r="S478" t="s">
        <v>1313</v>
      </c>
      <c r="T478" t="str">
        <f>CONCATENATE(Table1[[#This Row],[Name]]," ",Table1[[#This Row],[Surname/Studio Name/Artistic Name]])</f>
        <v>Ivan Navarro</v>
      </c>
    </row>
    <row r="479" spans="1:20" x14ac:dyDescent="0.35">
      <c r="A479">
        <v>478</v>
      </c>
      <c r="B479" t="s">
        <v>906</v>
      </c>
      <c r="C479" t="s">
        <v>907</v>
      </c>
      <c r="D479" t="s">
        <v>216</v>
      </c>
      <c r="E479" t="s">
        <v>1916</v>
      </c>
      <c r="F479" t="s">
        <v>25</v>
      </c>
      <c r="G479" t="s">
        <v>1916</v>
      </c>
      <c r="H479" t="s">
        <v>26</v>
      </c>
      <c r="J479">
        <v>1975</v>
      </c>
      <c r="K479">
        <f>2026-Table1[[#This Row],[Birthyear]]</f>
        <v>51</v>
      </c>
      <c r="L479" t="s">
        <v>1293</v>
      </c>
      <c r="M479" t="s">
        <v>1293</v>
      </c>
      <c r="N479" t="s">
        <v>1309</v>
      </c>
      <c r="T479" t="str">
        <f>CONCATENATE(Table1[[#This Row],[Name]]," ",Table1[[#This Row],[Surname/Studio Name/Artistic Name]])</f>
        <v>Kohei Nawa</v>
      </c>
    </row>
    <row r="480" spans="1:20" x14ac:dyDescent="0.35">
      <c r="A480">
        <v>479</v>
      </c>
      <c r="B480" t="s">
        <v>908</v>
      </c>
      <c r="C480" t="s">
        <v>909</v>
      </c>
      <c r="D480" t="s">
        <v>1901</v>
      </c>
      <c r="E480" t="s">
        <v>1916</v>
      </c>
      <c r="F480" t="s">
        <v>25</v>
      </c>
      <c r="G480" t="s">
        <v>1916</v>
      </c>
      <c r="H480" t="s">
        <v>21</v>
      </c>
      <c r="I480" t="s">
        <v>22</v>
      </c>
      <c r="J480">
        <v>1972</v>
      </c>
      <c r="K480">
        <f>2026-Table1[[#This Row],[Birthyear]]</f>
        <v>54</v>
      </c>
      <c r="L480" t="s">
        <v>1293</v>
      </c>
      <c r="M480" t="s">
        <v>1293</v>
      </c>
      <c r="N480" t="s">
        <v>1294</v>
      </c>
      <c r="T480" t="str">
        <f>CONCATENATE(Table1[[#This Row],[Name]]," ",Table1[[#This Row],[Surname/Studio Name/Artistic Name]])</f>
        <v>Filwa Nazer</v>
      </c>
    </row>
    <row r="481" spans="1:20" x14ac:dyDescent="0.35">
      <c r="A481">
        <v>480</v>
      </c>
      <c r="B481" t="s">
        <v>910</v>
      </c>
      <c r="C481" t="s">
        <v>911</v>
      </c>
      <c r="D481" t="s">
        <v>389</v>
      </c>
      <c r="E481" t="s">
        <v>1916</v>
      </c>
      <c r="F481" t="s">
        <v>20</v>
      </c>
      <c r="G481" t="s">
        <v>1916</v>
      </c>
      <c r="H481" t="s">
        <v>21</v>
      </c>
      <c r="J481">
        <v>1984</v>
      </c>
      <c r="K481">
        <f>2026-Table1[[#This Row],[Birthyear]]</f>
        <v>42</v>
      </c>
      <c r="L481" t="s">
        <v>1914</v>
      </c>
      <c r="M481" t="s">
        <v>1345</v>
      </c>
      <c r="N481" t="s">
        <v>1296</v>
      </c>
      <c r="O481" t="s">
        <v>1721</v>
      </c>
      <c r="P481">
        <v>2021</v>
      </c>
      <c r="Q481" t="s">
        <v>1344</v>
      </c>
      <c r="R481" t="s">
        <v>1299</v>
      </c>
      <c r="T481" t="str">
        <f>CONCATENATE(Table1[[#This Row],[Name]]," ",Table1[[#This Row],[Surname/Studio Name/Artistic Name]])</f>
        <v>Ana Maria Aurelia Negară</v>
      </c>
    </row>
    <row r="482" spans="1:20" x14ac:dyDescent="0.35">
      <c r="A482">
        <v>481</v>
      </c>
      <c r="B482" t="s">
        <v>912</v>
      </c>
      <c r="C482" t="s">
        <v>913</v>
      </c>
      <c r="D482" t="s">
        <v>1891</v>
      </c>
      <c r="E482" t="s">
        <v>1916</v>
      </c>
      <c r="F482" t="s">
        <v>20</v>
      </c>
      <c r="G482" t="s">
        <v>1916</v>
      </c>
      <c r="H482" t="s">
        <v>26</v>
      </c>
      <c r="I482" t="s">
        <v>22</v>
      </c>
      <c r="J482">
        <v>1958</v>
      </c>
      <c r="K482">
        <f>2026-Table1[[#This Row],[Birthyear]]</f>
        <v>68</v>
      </c>
      <c r="L482" t="s">
        <v>1290</v>
      </c>
      <c r="M482" t="s">
        <v>1290</v>
      </c>
      <c r="N482" t="s">
        <v>1291</v>
      </c>
      <c r="S482" t="s">
        <v>1468</v>
      </c>
      <c r="T482" t="str">
        <f>CONCATENATE(Table1[[#This Row],[Name]]," ",Table1[[#This Row],[Surname/Studio Name/Artistic Name]])</f>
        <v>Warren Neidich</v>
      </c>
    </row>
    <row r="483" spans="1:20" x14ac:dyDescent="0.35">
      <c r="A483">
        <v>482</v>
      </c>
      <c r="B483" t="s">
        <v>914</v>
      </c>
      <c r="C483" t="s">
        <v>915</v>
      </c>
      <c r="D483" t="s">
        <v>417</v>
      </c>
      <c r="E483" t="s">
        <v>1916</v>
      </c>
      <c r="F483" t="s">
        <v>25</v>
      </c>
      <c r="G483" t="s">
        <v>1916</v>
      </c>
      <c r="H483" t="s">
        <v>26</v>
      </c>
      <c r="J483">
        <v>1970</v>
      </c>
      <c r="K483">
        <f>2026-Table1[[#This Row],[Birthyear]]</f>
        <v>56</v>
      </c>
      <c r="L483" t="s">
        <v>1293</v>
      </c>
      <c r="M483" t="s">
        <v>1293</v>
      </c>
      <c r="N483" t="s">
        <v>1294</v>
      </c>
      <c r="T483" t="str">
        <f>CONCATENATE(Table1[[#This Row],[Name]]," ",Table1[[#This Row],[Surname/Studio Name/Artistic Name]])</f>
        <v>Yves Netzhammer</v>
      </c>
    </row>
    <row r="484" spans="1:20" x14ac:dyDescent="0.35">
      <c r="A484">
        <v>483</v>
      </c>
      <c r="B484" t="s">
        <v>916</v>
      </c>
      <c r="C484" t="s">
        <v>917</v>
      </c>
      <c r="D484" t="s">
        <v>300</v>
      </c>
      <c r="E484" t="s">
        <v>1916</v>
      </c>
      <c r="F484" t="s">
        <v>20</v>
      </c>
      <c r="G484" t="s">
        <v>1916</v>
      </c>
      <c r="H484" t="s">
        <v>26</v>
      </c>
      <c r="I484" t="s">
        <v>22</v>
      </c>
      <c r="J484">
        <v>1986</v>
      </c>
      <c r="K484">
        <f>2026-Table1[[#This Row],[Birthyear]]</f>
        <v>40</v>
      </c>
      <c r="L484" t="s">
        <v>1290</v>
      </c>
      <c r="M484" t="s">
        <v>1290</v>
      </c>
      <c r="N484" t="s">
        <v>1291</v>
      </c>
      <c r="S484" t="s">
        <v>1707</v>
      </c>
      <c r="T484" t="str">
        <f>CONCATENATE(Table1[[#This Row],[Name]]," ",Table1[[#This Row],[Surname/Studio Name/Artistic Name]])</f>
        <v xml:space="preserve">Charles Neubach </v>
      </c>
    </row>
    <row r="485" spans="1:20" x14ac:dyDescent="0.35">
      <c r="A485">
        <v>484</v>
      </c>
      <c r="B485" t="s">
        <v>918</v>
      </c>
      <c r="C485" t="s">
        <v>717</v>
      </c>
      <c r="D485" t="s">
        <v>300</v>
      </c>
      <c r="E485" t="s">
        <v>1916</v>
      </c>
      <c r="F485" t="s">
        <v>20</v>
      </c>
      <c r="G485" t="s">
        <v>1916</v>
      </c>
      <c r="H485" t="s">
        <v>26</v>
      </c>
      <c r="I485" t="s">
        <v>22</v>
      </c>
      <c r="J485">
        <v>1973</v>
      </c>
      <c r="K485">
        <f>2026-Table1[[#This Row],[Birthyear]]</f>
        <v>53</v>
      </c>
      <c r="L485" t="s">
        <v>1900</v>
      </c>
      <c r="M485" t="s">
        <v>1300</v>
      </c>
      <c r="N485" t="s">
        <v>1296</v>
      </c>
      <c r="O485" t="s">
        <v>1722</v>
      </c>
      <c r="P485">
        <v>2022</v>
      </c>
      <c r="Q485" t="s">
        <v>1350</v>
      </c>
      <c r="R485" t="s">
        <v>1723</v>
      </c>
      <c r="S485" t="s">
        <v>1304</v>
      </c>
      <c r="T485" t="str">
        <f>CONCATENATE(Table1[[#This Row],[Name]]," ",Table1[[#This Row],[Surname/Studio Name/Artistic Name]])</f>
        <v>Yann Nguema</v>
      </c>
    </row>
    <row r="486" spans="1:20" x14ac:dyDescent="0.35">
      <c r="A486">
        <v>485</v>
      </c>
      <c r="B486" t="s">
        <v>919</v>
      </c>
      <c r="C486" t="s">
        <v>647</v>
      </c>
      <c r="D486" t="s">
        <v>211</v>
      </c>
      <c r="E486" t="s">
        <v>1916</v>
      </c>
      <c r="F486" t="s">
        <v>25</v>
      </c>
      <c r="G486" t="s">
        <v>1916</v>
      </c>
      <c r="H486" t="s">
        <v>26</v>
      </c>
      <c r="J486">
        <v>1965</v>
      </c>
      <c r="K486">
        <f>2026-Table1[[#This Row],[Birthyear]]</f>
        <v>61</v>
      </c>
      <c r="L486" t="s">
        <v>1293</v>
      </c>
      <c r="M486" t="s">
        <v>1293</v>
      </c>
      <c r="N486" t="s">
        <v>1309</v>
      </c>
      <c r="T486" t="str">
        <f>CONCATENATE(Table1[[#This Row],[Name]]," ",Table1[[#This Row],[Surname/Studio Name/Artistic Name]])</f>
        <v>Carsten Nicolai</v>
      </c>
    </row>
    <row r="487" spans="1:20" x14ac:dyDescent="0.35">
      <c r="A487">
        <v>486</v>
      </c>
      <c r="B487" t="s">
        <v>919</v>
      </c>
      <c r="C487" t="s">
        <v>920</v>
      </c>
      <c r="D487" t="s">
        <v>211</v>
      </c>
      <c r="E487" t="s">
        <v>1916</v>
      </c>
      <c r="F487" t="s">
        <v>20</v>
      </c>
      <c r="G487" t="s">
        <v>1916</v>
      </c>
      <c r="H487" t="s">
        <v>26</v>
      </c>
      <c r="J487">
        <v>1962</v>
      </c>
      <c r="K487">
        <f>2026-Table1[[#This Row],[Birthyear]]</f>
        <v>64</v>
      </c>
      <c r="L487" t="s">
        <v>1290</v>
      </c>
      <c r="M487" t="s">
        <v>1290</v>
      </c>
      <c r="N487" t="s">
        <v>1291</v>
      </c>
      <c r="S487" t="s">
        <v>1464</v>
      </c>
      <c r="T487" t="str">
        <f>CONCATENATE(Table1[[#This Row],[Name]]," ",Table1[[#This Row],[Surname/Studio Name/Artistic Name]])</f>
        <v>Olaf Nicolai</v>
      </c>
    </row>
    <row r="488" spans="1:20" x14ac:dyDescent="0.35">
      <c r="A488">
        <v>487</v>
      </c>
      <c r="B488" t="s">
        <v>921</v>
      </c>
      <c r="C488" t="s">
        <v>922</v>
      </c>
      <c r="D488" t="s">
        <v>252</v>
      </c>
      <c r="E488" t="s">
        <v>1916</v>
      </c>
      <c r="F488" t="s">
        <v>25</v>
      </c>
      <c r="G488" t="s">
        <v>1916</v>
      </c>
      <c r="H488" t="s">
        <v>21</v>
      </c>
      <c r="J488">
        <v>1987</v>
      </c>
      <c r="K488">
        <f>2026-Table1[[#This Row],[Birthyear]]</f>
        <v>39</v>
      </c>
      <c r="L488" t="s">
        <v>1293</v>
      </c>
      <c r="M488" t="s">
        <v>1293</v>
      </c>
      <c r="N488" t="s">
        <v>1327</v>
      </c>
      <c r="T488" t="str">
        <f>CONCATENATE(Table1[[#This Row],[Name]]," ",Table1[[#This Row],[Surname/Studio Name/Artistic Name]])</f>
        <v>Anastasia Nysten</v>
      </c>
    </row>
    <row r="489" spans="1:20" x14ac:dyDescent="0.35">
      <c r="A489">
        <v>488</v>
      </c>
      <c r="B489" t="s">
        <v>923</v>
      </c>
      <c r="C489" t="s">
        <v>924</v>
      </c>
      <c r="D489" t="s">
        <v>366</v>
      </c>
      <c r="E489" t="s">
        <v>1916</v>
      </c>
      <c r="F489" t="s">
        <v>20</v>
      </c>
      <c r="G489" t="s">
        <v>1916</v>
      </c>
      <c r="H489" t="s">
        <v>21</v>
      </c>
      <c r="J489">
        <v>1975</v>
      </c>
      <c r="K489">
        <f>2026-Table1[[#This Row],[Birthyear]]</f>
        <v>51</v>
      </c>
      <c r="L489" t="s">
        <v>1900</v>
      </c>
      <c r="M489" t="s">
        <v>1317</v>
      </c>
      <c r="N489" t="s">
        <v>1296</v>
      </c>
      <c r="O489" t="s">
        <v>1724</v>
      </c>
      <c r="Q489" t="s">
        <v>1319</v>
      </c>
      <c r="R489" t="s">
        <v>1355</v>
      </c>
      <c r="S489" t="s">
        <v>1341</v>
      </c>
      <c r="T489" t="str">
        <f>CONCATENATE(Table1[[#This Row],[Name]]," ",Table1[[#This Row],[Surname/Studio Name/Artistic Name]])</f>
        <v>Mel O’Callaghan​</v>
      </c>
    </row>
    <row r="490" spans="1:20" x14ac:dyDescent="0.35">
      <c r="A490">
        <v>489</v>
      </c>
      <c r="B490" t="s">
        <v>925</v>
      </c>
      <c r="C490" t="s">
        <v>926</v>
      </c>
      <c r="D490" t="s">
        <v>1901</v>
      </c>
      <c r="E490" t="s">
        <v>1916</v>
      </c>
      <c r="F490" t="s">
        <v>25</v>
      </c>
      <c r="G490" t="s">
        <v>1916</v>
      </c>
      <c r="H490" t="s">
        <v>26</v>
      </c>
      <c r="J490">
        <v>1953</v>
      </c>
      <c r="K490">
        <f>2026-Table1[[#This Row],[Birthyear]]</f>
        <v>73</v>
      </c>
      <c r="L490" t="s">
        <v>1293</v>
      </c>
      <c r="M490" t="s">
        <v>1293</v>
      </c>
      <c r="N490" t="s">
        <v>1294</v>
      </c>
      <c r="T490" t="str">
        <f>CONCATENATE(Table1[[#This Row],[Name]]," ",Table1[[#This Row],[Surname/Studio Name/Artistic Name]])</f>
        <v>Eilis O’Connell</v>
      </c>
    </row>
    <row r="491" spans="1:20" x14ac:dyDescent="0.35">
      <c r="A491">
        <v>490</v>
      </c>
      <c r="B491" t="s">
        <v>927</v>
      </c>
      <c r="C491" t="s">
        <v>928</v>
      </c>
      <c r="D491" t="s">
        <v>242</v>
      </c>
      <c r="E491" t="s">
        <v>1916</v>
      </c>
      <c r="F491" t="s">
        <v>20</v>
      </c>
      <c r="G491" t="s">
        <v>1916</v>
      </c>
      <c r="H491" t="s">
        <v>26</v>
      </c>
      <c r="J491">
        <v>1998</v>
      </c>
      <c r="K491">
        <f>2026-Table1[[#This Row],[Birthyear]]</f>
        <v>28</v>
      </c>
      <c r="L491" t="s">
        <v>1290</v>
      </c>
      <c r="M491" t="s">
        <v>1290</v>
      </c>
      <c r="N491" t="s">
        <v>1291</v>
      </c>
      <c r="S491" t="s">
        <v>1374</v>
      </c>
      <c r="T491" t="str">
        <f>CONCATENATE(Table1[[#This Row],[Name]]," ",Table1[[#This Row],[Surname/Studio Name/Artistic Name]])</f>
        <v>Derrick Ofosu Boateng</v>
      </c>
    </row>
    <row r="492" spans="1:20" x14ac:dyDescent="0.35">
      <c r="A492">
        <v>491</v>
      </c>
      <c r="B492" t="s">
        <v>929</v>
      </c>
      <c r="C492" t="s">
        <v>930</v>
      </c>
      <c r="D492" t="s">
        <v>216</v>
      </c>
      <c r="E492" t="s">
        <v>1916</v>
      </c>
      <c r="F492" t="s">
        <v>20</v>
      </c>
      <c r="G492" t="s">
        <v>1916</v>
      </c>
      <c r="H492" t="s">
        <v>26</v>
      </c>
      <c r="J492">
        <v>1948</v>
      </c>
      <c r="K492">
        <f>2026-Table1[[#This Row],[Birthyear]]</f>
        <v>78</v>
      </c>
      <c r="L492" t="s">
        <v>1914</v>
      </c>
      <c r="M492" t="s">
        <v>1425</v>
      </c>
      <c r="N492" t="s">
        <v>1296</v>
      </c>
      <c r="P492">
        <v>2019</v>
      </c>
      <c r="Q492" t="s">
        <v>1344</v>
      </c>
      <c r="T492" t="str">
        <f>CONCATENATE(Table1[[#This Row],[Name]]," ",Table1[[#This Row],[Surname/Studio Name/Artistic Name]])</f>
        <v>Yoshin Ogata</v>
      </c>
    </row>
    <row r="493" spans="1:20" x14ac:dyDescent="0.35">
      <c r="A493">
        <v>492</v>
      </c>
      <c r="B493" t="s">
        <v>931</v>
      </c>
      <c r="C493" t="s">
        <v>932</v>
      </c>
      <c r="D493" t="s">
        <v>216</v>
      </c>
      <c r="E493" t="s">
        <v>1916</v>
      </c>
      <c r="F493" t="s">
        <v>25</v>
      </c>
      <c r="G493" t="s">
        <v>1916</v>
      </c>
      <c r="H493" t="s">
        <v>26</v>
      </c>
      <c r="J493">
        <v>1971</v>
      </c>
      <c r="K493">
        <f>2026-Table1[[#This Row],[Birthyear]]</f>
        <v>55</v>
      </c>
      <c r="L493" t="s">
        <v>1293</v>
      </c>
      <c r="M493" t="s">
        <v>1293</v>
      </c>
      <c r="N493" t="s">
        <v>1309</v>
      </c>
      <c r="T493" t="str">
        <f>CONCATENATE(Table1[[#This Row],[Name]]," ",Table1[[#This Row],[Surname/Studio Name/Artistic Name]])</f>
        <v>Shinji Ohmaki</v>
      </c>
    </row>
    <row r="494" spans="1:20" x14ac:dyDescent="0.35">
      <c r="A494">
        <v>493</v>
      </c>
      <c r="B494" t="s">
        <v>933</v>
      </c>
      <c r="C494" t="s">
        <v>934</v>
      </c>
      <c r="D494" t="s">
        <v>905</v>
      </c>
      <c r="E494" t="s">
        <v>1916</v>
      </c>
      <c r="F494" t="s">
        <v>20</v>
      </c>
      <c r="G494" t="s">
        <v>1916</v>
      </c>
      <c r="H494" t="s">
        <v>21</v>
      </c>
      <c r="J494">
        <v>1973</v>
      </c>
      <c r="K494">
        <f>2026-Table1[[#This Row],[Birthyear]]</f>
        <v>53</v>
      </c>
      <c r="L494" t="s">
        <v>1914</v>
      </c>
      <c r="M494" t="s">
        <v>1361</v>
      </c>
      <c r="N494" t="s">
        <v>1296</v>
      </c>
      <c r="O494" t="s">
        <v>1725</v>
      </c>
      <c r="P494">
        <v>2024</v>
      </c>
      <c r="Q494" t="s">
        <v>1344</v>
      </c>
      <c r="R494" t="s">
        <v>1363</v>
      </c>
      <c r="T494" t="str">
        <f>CONCATENATE(Table1[[#This Row],[Name]]," ",Table1[[#This Row],[Surname/Studio Name/Artistic Name]])</f>
        <v>Lorena Olivares</v>
      </c>
    </row>
    <row r="495" spans="1:20" x14ac:dyDescent="0.35">
      <c r="A495">
        <v>494</v>
      </c>
      <c r="B495" t="s">
        <v>935</v>
      </c>
      <c r="C495" t="s">
        <v>936</v>
      </c>
      <c r="D495" t="s">
        <v>1891</v>
      </c>
      <c r="E495" t="s">
        <v>1916</v>
      </c>
      <c r="F495" t="s">
        <v>20</v>
      </c>
      <c r="G495" t="s">
        <v>1916</v>
      </c>
      <c r="H495" t="s">
        <v>26</v>
      </c>
      <c r="I495" t="s">
        <v>22</v>
      </c>
      <c r="J495">
        <v>1958</v>
      </c>
      <c r="K495">
        <f>2026-Table1[[#This Row],[Birthyear]]</f>
        <v>68</v>
      </c>
      <c r="L495" t="s">
        <v>1290</v>
      </c>
      <c r="M495" t="s">
        <v>1290</v>
      </c>
      <c r="N495" t="s">
        <v>1291</v>
      </c>
      <c r="S495" t="s">
        <v>1314</v>
      </c>
      <c r="T495" t="str">
        <f>CONCATENATE(Table1[[#This Row],[Name]]," ",Table1[[#This Row],[Surname/Studio Name/Artistic Name]])</f>
        <v>Julian Opie</v>
      </c>
    </row>
    <row r="496" spans="1:20" x14ac:dyDescent="0.35">
      <c r="A496">
        <v>495</v>
      </c>
      <c r="B496" t="s">
        <v>937</v>
      </c>
      <c r="C496" t="s">
        <v>938</v>
      </c>
      <c r="D496" t="s">
        <v>245</v>
      </c>
      <c r="E496" t="s">
        <v>1916</v>
      </c>
      <c r="F496" t="s">
        <v>20</v>
      </c>
      <c r="G496" t="s">
        <v>1916</v>
      </c>
      <c r="H496" t="s">
        <v>26</v>
      </c>
      <c r="J496">
        <v>1967</v>
      </c>
      <c r="K496">
        <f>2026-Table1[[#This Row],[Birthyear]]</f>
        <v>59</v>
      </c>
      <c r="L496" t="s">
        <v>1357</v>
      </c>
      <c r="M496" t="s">
        <v>1357</v>
      </c>
      <c r="N496" t="s">
        <v>1327</v>
      </c>
      <c r="S496" t="s">
        <v>1726</v>
      </c>
      <c r="T496" t="str">
        <f>CONCATENATE(Table1[[#This Row],[Name]]," ",Table1[[#This Row],[Surname/Studio Name/Artistic Name]])</f>
        <v>Damián Ortega</v>
      </c>
    </row>
    <row r="497" spans="1:20" x14ac:dyDescent="0.35">
      <c r="A497">
        <v>496</v>
      </c>
      <c r="B497" t="s">
        <v>939</v>
      </c>
      <c r="C497" t="s">
        <v>940</v>
      </c>
      <c r="D497" t="s">
        <v>29</v>
      </c>
      <c r="E497" t="s">
        <v>1916</v>
      </c>
      <c r="F497" t="s">
        <v>20</v>
      </c>
      <c r="G497" t="s">
        <v>1916</v>
      </c>
      <c r="H497" t="s">
        <v>21</v>
      </c>
      <c r="J497">
        <v>1993</v>
      </c>
      <c r="K497">
        <f>2026-Table1[[#This Row],[Birthyear]]</f>
        <v>33</v>
      </c>
      <c r="L497" t="s">
        <v>1900</v>
      </c>
      <c r="M497" t="s">
        <v>1317</v>
      </c>
      <c r="N497" t="s">
        <v>1296</v>
      </c>
      <c r="O497" t="s">
        <v>1727</v>
      </c>
      <c r="P497">
        <v>2023</v>
      </c>
      <c r="Q497" t="s">
        <v>1298</v>
      </c>
      <c r="R497" t="s">
        <v>1355</v>
      </c>
      <c r="S497" t="s">
        <v>1341</v>
      </c>
      <c r="T497" t="str">
        <f>CONCATENATE(Table1[[#This Row],[Name]]," ",Table1[[#This Row],[Surname/Studio Name/Artistic Name]])</f>
        <v>Hayat Osamah​</v>
      </c>
    </row>
    <row r="498" spans="1:20" x14ac:dyDescent="0.35">
      <c r="A498">
        <v>497</v>
      </c>
      <c r="B498" t="s">
        <v>941</v>
      </c>
      <c r="D498" t="s">
        <v>262</v>
      </c>
      <c r="E498" t="s">
        <v>1916</v>
      </c>
      <c r="F498" t="s">
        <v>20</v>
      </c>
      <c r="G498" t="s">
        <v>1916</v>
      </c>
      <c r="H498" t="s">
        <v>26</v>
      </c>
      <c r="J498">
        <v>1974</v>
      </c>
      <c r="K498">
        <f>2026-Table1[[#This Row],[Birthyear]]</f>
        <v>52</v>
      </c>
      <c r="L498" t="s">
        <v>1900</v>
      </c>
      <c r="M498" t="s">
        <v>1317</v>
      </c>
      <c r="N498" t="s">
        <v>1296</v>
      </c>
      <c r="O498" t="s">
        <v>1728</v>
      </c>
      <c r="P498" t="s">
        <v>1729</v>
      </c>
      <c r="Q498" t="s">
        <v>1319</v>
      </c>
      <c r="R498" t="s">
        <v>1392</v>
      </c>
      <c r="S498" t="s">
        <v>1341</v>
      </c>
      <c r="T498" t="str">
        <f>CONCATENATE(Table1[[#This Row],[Name]]," ",Table1[[#This Row],[Surname/Studio Name/Artistic Name]])</f>
        <v xml:space="preserve"> OSGEMEOS​ </v>
      </c>
    </row>
    <row r="499" spans="1:20" x14ac:dyDescent="0.35">
      <c r="A499">
        <v>498</v>
      </c>
      <c r="B499" t="s">
        <v>942</v>
      </c>
      <c r="C499" t="s">
        <v>943</v>
      </c>
      <c r="D499" t="s">
        <v>1896</v>
      </c>
      <c r="E499" t="s">
        <v>1916</v>
      </c>
      <c r="F499" t="s">
        <v>20</v>
      </c>
      <c r="G499" t="s">
        <v>1916</v>
      </c>
      <c r="H499" t="s">
        <v>26</v>
      </c>
      <c r="J499">
        <v>1968</v>
      </c>
      <c r="K499">
        <f>2026-Table1[[#This Row],[Birthyear]]</f>
        <v>58</v>
      </c>
      <c r="L499" t="s">
        <v>1315</v>
      </c>
      <c r="M499" t="s">
        <v>1315</v>
      </c>
      <c r="N499" t="s">
        <v>1327</v>
      </c>
      <c r="S499" t="s">
        <v>1331</v>
      </c>
      <c r="T499" t="str">
        <f>CONCATENATE(Table1[[#This Row],[Name]]," ",Table1[[#This Row],[Surname/Studio Name/Artistic Name]])</f>
        <v>Gosha Ostretsov</v>
      </c>
    </row>
    <row r="500" spans="1:20" x14ac:dyDescent="0.35">
      <c r="A500">
        <v>499</v>
      </c>
      <c r="B500" t="s">
        <v>944</v>
      </c>
      <c r="C500" t="s">
        <v>232</v>
      </c>
      <c r="D500" t="s">
        <v>228</v>
      </c>
      <c r="E500" t="s">
        <v>1916</v>
      </c>
      <c r="F500" t="s">
        <v>20</v>
      </c>
      <c r="G500" t="s">
        <v>1916</v>
      </c>
      <c r="H500" t="s">
        <v>26</v>
      </c>
      <c r="J500">
        <v>1985</v>
      </c>
      <c r="K500">
        <f>2026-Table1[[#This Row],[Birthyear]]</f>
        <v>41</v>
      </c>
      <c r="L500" t="s">
        <v>1315</v>
      </c>
      <c r="M500" t="s">
        <v>1315</v>
      </c>
      <c r="N500" t="s">
        <v>1327</v>
      </c>
      <c r="S500" t="s">
        <v>1377</v>
      </c>
      <c r="T500" t="str">
        <f>CONCATENATE(Table1[[#This Row],[Name]]," ",Table1[[#This Row],[Surname/Studio Name/Artistic Name]])</f>
        <v>Daniel Otero Torres</v>
      </c>
    </row>
    <row r="501" spans="1:20" x14ac:dyDescent="0.35">
      <c r="A501">
        <v>500</v>
      </c>
      <c r="B501" t="s">
        <v>945</v>
      </c>
      <c r="C501" t="s">
        <v>946</v>
      </c>
      <c r="D501" t="s">
        <v>300</v>
      </c>
      <c r="E501" t="s">
        <v>1916</v>
      </c>
      <c r="F501" t="s">
        <v>20</v>
      </c>
      <c r="G501" t="s">
        <v>1916</v>
      </c>
      <c r="H501" t="s">
        <v>26</v>
      </c>
      <c r="J501">
        <v>1964</v>
      </c>
      <c r="K501">
        <f>2026-Table1[[#This Row],[Birthyear]]</f>
        <v>62</v>
      </c>
      <c r="L501" t="s">
        <v>1900</v>
      </c>
      <c r="M501" t="s">
        <v>1300</v>
      </c>
      <c r="N501" t="s">
        <v>1296</v>
      </c>
      <c r="O501" t="s">
        <v>1730</v>
      </c>
      <c r="P501">
        <v>2022</v>
      </c>
      <c r="Q501" t="s">
        <v>1344</v>
      </c>
      <c r="R501" t="s">
        <v>1355</v>
      </c>
      <c r="S501" t="s">
        <v>1572</v>
      </c>
      <c r="T501" t="str">
        <f>CONCATENATE(Table1[[#This Row],[Name]]," ",Table1[[#This Row],[Surname/Studio Name/Artistic Name]])</f>
        <v>Jean Michael Othoniel</v>
      </c>
    </row>
    <row r="502" spans="1:20" x14ac:dyDescent="0.35">
      <c r="A502">
        <v>501</v>
      </c>
      <c r="B502" t="s">
        <v>947</v>
      </c>
      <c r="C502" t="s">
        <v>948</v>
      </c>
      <c r="D502" t="s">
        <v>949</v>
      </c>
      <c r="E502" t="s">
        <v>1916</v>
      </c>
      <c r="F502" t="s">
        <v>20</v>
      </c>
      <c r="G502" t="s">
        <v>1916</v>
      </c>
      <c r="H502" t="s">
        <v>26</v>
      </c>
      <c r="J502">
        <v>1981</v>
      </c>
      <c r="K502">
        <f>2026-Table1[[#This Row],[Birthyear]]</f>
        <v>45</v>
      </c>
      <c r="L502" t="s">
        <v>1315</v>
      </c>
      <c r="M502" t="s">
        <v>1315</v>
      </c>
      <c r="N502" t="s">
        <v>1327</v>
      </c>
      <c r="S502" t="s">
        <v>1331</v>
      </c>
      <c r="T502" t="str">
        <f>CONCATENATE(Table1[[#This Row],[Name]]," ",Table1[[#This Row],[Surname/Studio Name/Artistic Name]])</f>
        <v>Hyacinthe Ouattara</v>
      </c>
    </row>
    <row r="503" spans="1:20" x14ac:dyDescent="0.35">
      <c r="A503">
        <v>502</v>
      </c>
      <c r="B503" t="s">
        <v>950</v>
      </c>
      <c r="C503" t="s">
        <v>60</v>
      </c>
      <c r="D503" t="s">
        <v>297</v>
      </c>
      <c r="E503" t="s">
        <v>1916</v>
      </c>
      <c r="F503" t="s">
        <v>20</v>
      </c>
      <c r="G503" t="s">
        <v>1916</v>
      </c>
      <c r="H503" t="s">
        <v>21</v>
      </c>
      <c r="I503" t="s">
        <v>22</v>
      </c>
      <c r="J503">
        <v>1986</v>
      </c>
      <c r="K503">
        <f>2026-Table1[[#This Row],[Birthyear]]</f>
        <v>40</v>
      </c>
      <c r="L503" t="s">
        <v>1290</v>
      </c>
      <c r="M503" t="s">
        <v>1290</v>
      </c>
      <c r="N503" t="s">
        <v>1327</v>
      </c>
      <c r="S503" t="s">
        <v>1731</v>
      </c>
      <c r="T503" t="str">
        <f>CONCATENATE(Table1[[#This Row],[Name]]," ",Table1[[#This Row],[Surname/Studio Name/Artistic Name]])</f>
        <v>Sara Ouhaddou</v>
      </c>
    </row>
    <row r="504" spans="1:20" x14ac:dyDescent="0.35">
      <c r="A504">
        <v>503</v>
      </c>
      <c r="B504" t="s">
        <v>951</v>
      </c>
      <c r="C504" t="s">
        <v>952</v>
      </c>
      <c r="D504" t="s">
        <v>747</v>
      </c>
      <c r="E504" t="s">
        <v>1916</v>
      </c>
      <c r="F504" t="s">
        <v>20</v>
      </c>
      <c r="G504" t="s">
        <v>1916</v>
      </c>
      <c r="H504" t="s">
        <v>26</v>
      </c>
      <c r="I504" t="s">
        <v>22</v>
      </c>
      <c r="J504">
        <v>1958</v>
      </c>
      <c r="K504">
        <f>2026-Table1[[#This Row],[Birthyear]]</f>
        <v>68</v>
      </c>
      <c r="L504" t="s">
        <v>1290</v>
      </c>
      <c r="M504" t="s">
        <v>1290</v>
      </c>
      <c r="N504" t="s">
        <v>1291</v>
      </c>
      <c r="S504" t="s">
        <v>1707</v>
      </c>
      <c r="T504" t="str">
        <f>CONCATENATE(Table1[[#This Row],[Name]]," ",Table1[[#This Row],[Surname/Studio Name/Artistic Name]])</f>
        <v>Yazid Oulab</v>
      </c>
    </row>
    <row r="505" spans="1:20" x14ac:dyDescent="0.35">
      <c r="A505">
        <v>504</v>
      </c>
      <c r="B505" t="s">
        <v>953</v>
      </c>
      <c r="C505" t="s">
        <v>954</v>
      </c>
      <c r="D505" t="s">
        <v>1901</v>
      </c>
      <c r="E505" t="s">
        <v>1916</v>
      </c>
      <c r="F505" t="s">
        <v>25</v>
      </c>
      <c r="G505" t="s">
        <v>1916</v>
      </c>
      <c r="H505" t="s">
        <v>26</v>
      </c>
      <c r="I505" t="s">
        <v>22</v>
      </c>
      <c r="J505">
        <v>1966</v>
      </c>
      <c r="K505">
        <f>2026-Table1[[#This Row],[Birthyear]]</f>
        <v>60</v>
      </c>
      <c r="L505" t="s">
        <v>1293</v>
      </c>
      <c r="M505" t="s">
        <v>1293</v>
      </c>
      <c r="N505" t="s">
        <v>1309</v>
      </c>
      <c r="T505" t="str">
        <f>CONCATENATE(Table1[[#This Row],[Name]]," ",Table1[[#This Row],[Surname/Studio Name/Artistic Name]])</f>
        <v>Zak Ové</v>
      </c>
    </row>
    <row r="506" spans="1:20" x14ac:dyDescent="0.35">
      <c r="A506">
        <v>505</v>
      </c>
      <c r="B506" t="s">
        <v>955</v>
      </c>
      <c r="C506" t="s">
        <v>956</v>
      </c>
      <c r="D506" t="s">
        <v>47</v>
      </c>
      <c r="E506" t="s">
        <v>1916</v>
      </c>
      <c r="F506" t="s">
        <v>20</v>
      </c>
      <c r="G506" t="s">
        <v>1916</v>
      </c>
      <c r="H506" t="s">
        <v>21</v>
      </c>
      <c r="J506">
        <v>1998</v>
      </c>
      <c r="K506">
        <f>2026-Table1[[#This Row],[Birthyear]]</f>
        <v>28</v>
      </c>
      <c r="L506" t="s">
        <v>1914</v>
      </c>
      <c r="M506" t="s">
        <v>1342</v>
      </c>
      <c r="N506" t="s">
        <v>1296</v>
      </c>
      <c r="O506" t="s">
        <v>1732</v>
      </c>
      <c r="P506">
        <v>2025</v>
      </c>
      <c r="Q506" t="s">
        <v>1344</v>
      </c>
      <c r="T506" t="str">
        <f>CONCATENATE(Table1[[#This Row],[Name]]," ",Table1[[#This Row],[Surname/Studio Name/Artistic Name]])</f>
        <v>Arianna Palmieri</v>
      </c>
    </row>
    <row r="507" spans="1:20" x14ac:dyDescent="0.35">
      <c r="A507">
        <v>506</v>
      </c>
      <c r="B507" t="s">
        <v>957</v>
      </c>
      <c r="C507" t="s">
        <v>922</v>
      </c>
      <c r="D507" t="s">
        <v>958</v>
      </c>
      <c r="E507" t="s">
        <v>1916</v>
      </c>
      <c r="F507" t="s">
        <v>20</v>
      </c>
      <c r="G507" t="s">
        <v>1916</v>
      </c>
      <c r="H507" t="s">
        <v>21</v>
      </c>
      <c r="I507" t="s">
        <v>22</v>
      </c>
      <c r="J507">
        <v>1985</v>
      </c>
      <c r="K507">
        <f>2026-Table1[[#This Row],[Birthyear]]</f>
        <v>41</v>
      </c>
      <c r="L507" t="s">
        <v>1315</v>
      </c>
      <c r="M507" t="s">
        <v>1315</v>
      </c>
      <c r="N507" t="s">
        <v>1296</v>
      </c>
      <c r="O507" t="s">
        <v>1733</v>
      </c>
      <c r="Q507" t="s">
        <v>1376</v>
      </c>
      <c r="S507" t="s">
        <v>1567</v>
      </c>
      <c r="T507" t="str">
        <f>CONCATENATE(Table1[[#This Row],[Name]]," ",Table1[[#This Row],[Surname/Studio Name/Artistic Name]])</f>
        <v>Anastasia Parmson</v>
      </c>
    </row>
    <row r="508" spans="1:20" x14ac:dyDescent="0.35">
      <c r="A508">
        <v>507</v>
      </c>
      <c r="B508" t="s">
        <v>959</v>
      </c>
      <c r="C508" t="s">
        <v>960</v>
      </c>
      <c r="D508" t="s">
        <v>300</v>
      </c>
      <c r="E508" t="s">
        <v>1916</v>
      </c>
      <c r="F508" t="s">
        <v>20</v>
      </c>
      <c r="G508" t="s">
        <v>1916</v>
      </c>
      <c r="H508" t="s">
        <v>26</v>
      </c>
      <c r="J508">
        <v>1964</v>
      </c>
      <c r="K508">
        <f>2026-Table1[[#This Row],[Birthyear]]</f>
        <v>62</v>
      </c>
      <c r="L508" t="s">
        <v>1900</v>
      </c>
      <c r="M508" t="s">
        <v>1317</v>
      </c>
      <c r="N508" t="s">
        <v>1296</v>
      </c>
      <c r="O508" t="s">
        <v>1734</v>
      </c>
      <c r="P508">
        <v>2015</v>
      </c>
      <c r="Q508" t="s">
        <v>1302</v>
      </c>
      <c r="R508" t="s">
        <v>1312</v>
      </c>
      <c r="S508" t="s">
        <v>1320</v>
      </c>
      <c r="T508" t="str">
        <f>CONCATENATE(Table1[[#This Row],[Name]]," ",Table1[[#This Row],[Surname/Studio Name/Artistic Name]])</f>
        <v>Philippe Parreno​</v>
      </c>
    </row>
    <row r="509" spans="1:20" x14ac:dyDescent="0.35">
      <c r="A509">
        <v>508</v>
      </c>
      <c r="B509" t="s">
        <v>961</v>
      </c>
      <c r="C509" t="s">
        <v>962</v>
      </c>
      <c r="D509" t="s">
        <v>313</v>
      </c>
      <c r="E509" t="s">
        <v>1916</v>
      </c>
      <c r="F509" t="s">
        <v>20</v>
      </c>
      <c r="G509" t="s">
        <v>1916</v>
      </c>
      <c r="H509" t="s">
        <v>26</v>
      </c>
      <c r="J509">
        <v>1958</v>
      </c>
      <c r="K509">
        <f>2026-Table1[[#This Row],[Birthyear]]</f>
        <v>68</v>
      </c>
      <c r="L509" t="s">
        <v>1900</v>
      </c>
      <c r="M509" t="s">
        <v>1295</v>
      </c>
      <c r="N509" t="s">
        <v>1296</v>
      </c>
      <c r="O509" t="s">
        <v>1735</v>
      </c>
      <c r="P509">
        <v>2025</v>
      </c>
      <c r="Q509" t="s">
        <v>1348</v>
      </c>
      <c r="R509" t="s">
        <v>1299</v>
      </c>
      <c r="T509" t="str">
        <f>CONCATENATE(Table1[[#This Row],[Name]]," ",Table1[[#This Row],[Surname/Studio Name/Artistic Name]])</f>
        <v>Christian Partos</v>
      </c>
    </row>
    <row r="510" spans="1:20" x14ac:dyDescent="0.35">
      <c r="A510">
        <v>509</v>
      </c>
      <c r="B510" t="s">
        <v>963</v>
      </c>
      <c r="C510" t="s">
        <v>964</v>
      </c>
      <c r="D510" t="s">
        <v>447</v>
      </c>
      <c r="E510" t="s">
        <v>1916</v>
      </c>
      <c r="F510" t="s">
        <v>20</v>
      </c>
      <c r="G510" t="s">
        <v>1916</v>
      </c>
      <c r="H510" t="s">
        <v>26</v>
      </c>
      <c r="J510">
        <v>1977</v>
      </c>
      <c r="K510">
        <f>2026-Table1[[#This Row],[Birthyear]]</f>
        <v>49</v>
      </c>
      <c r="L510" t="s">
        <v>1914</v>
      </c>
      <c r="M510" t="s">
        <v>1326</v>
      </c>
      <c r="N510" t="s">
        <v>1296</v>
      </c>
      <c r="O510" t="s">
        <v>1736</v>
      </c>
      <c r="P510">
        <v>2023</v>
      </c>
      <c r="Q510" t="s">
        <v>1344</v>
      </c>
      <c r="R510" t="s">
        <v>1299</v>
      </c>
      <c r="T510" t="str">
        <f>CONCATENATE(Table1[[#This Row],[Name]]," ",Table1[[#This Row],[Surname/Studio Name/Artistic Name]])</f>
        <v>Sylvain Patte</v>
      </c>
    </row>
    <row r="511" spans="1:20" x14ac:dyDescent="0.35">
      <c r="A511">
        <v>510</v>
      </c>
      <c r="B511" t="s">
        <v>965</v>
      </c>
      <c r="C511" t="s">
        <v>966</v>
      </c>
      <c r="D511" t="s">
        <v>36</v>
      </c>
      <c r="E511" t="s">
        <v>1916</v>
      </c>
      <c r="F511" t="s">
        <v>20</v>
      </c>
      <c r="G511" t="s">
        <v>1916</v>
      </c>
      <c r="H511" t="s">
        <v>21</v>
      </c>
      <c r="J511">
        <v>1981</v>
      </c>
      <c r="K511">
        <f>2026-Table1[[#This Row],[Birthyear]]</f>
        <v>45</v>
      </c>
      <c r="L511" t="s">
        <v>1914</v>
      </c>
      <c r="M511" t="s">
        <v>1342</v>
      </c>
      <c r="N511" t="s">
        <v>1296</v>
      </c>
      <c r="O511" t="s">
        <v>1737</v>
      </c>
      <c r="P511">
        <v>2025</v>
      </c>
      <c r="Q511" t="s">
        <v>1344</v>
      </c>
      <c r="T511" t="str">
        <f>CONCATENATE(Table1[[#This Row],[Name]]," ",Table1[[#This Row],[Surname/Studio Name/Artistic Name]])</f>
        <v>Masa Paunovic</v>
      </c>
    </row>
    <row r="512" spans="1:20" x14ac:dyDescent="0.35">
      <c r="A512">
        <v>511</v>
      </c>
      <c r="B512" t="s">
        <v>967</v>
      </c>
      <c r="C512" t="s">
        <v>968</v>
      </c>
      <c r="D512" t="s">
        <v>47</v>
      </c>
      <c r="E512" t="s">
        <v>1916</v>
      </c>
      <c r="F512" t="s">
        <v>20</v>
      </c>
      <c r="G512" t="s">
        <v>1916</v>
      </c>
      <c r="H512" t="s">
        <v>26</v>
      </c>
      <c r="J512">
        <v>1947</v>
      </c>
      <c r="K512">
        <f>2026-Table1[[#This Row],[Birthyear]]</f>
        <v>79</v>
      </c>
      <c r="L512" t="s">
        <v>1588</v>
      </c>
      <c r="M512" t="s">
        <v>1588</v>
      </c>
      <c r="N512" t="s">
        <v>1296</v>
      </c>
      <c r="O512" t="s">
        <v>1738</v>
      </c>
      <c r="P512">
        <v>2012</v>
      </c>
      <c r="Q512" t="s">
        <v>1344</v>
      </c>
      <c r="R512" t="s">
        <v>1299</v>
      </c>
      <c r="S512" t="s">
        <v>1739</v>
      </c>
      <c r="T512" t="str">
        <f>CONCATENATE(Table1[[#This Row],[Name]]," ",Table1[[#This Row],[Surname/Studio Name/Artistic Name]])</f>
        <v>Giuseppe Penone</v>
      </c>
    </row>
    <row r="513" spans="1:20" x14ac:dyDescent="0.35">
      <c r="A513">
        <v>512</v>
      </c>
      <c r="B513" t="s">
        <v>969</v>
      </c>
      <c r="C513" t="s">
        <v>970</v>
      </c>
      <c r="D513" t="s">
        <v>572</v>
      </c>
      <c r="E513" t="s">
        <v>1916</v>
      </c>
      <c r="F513" t="s">
        <v>20</v>
      </c>
      <c r="G513" t="s">
        <v>1916</v>
      </c>
      <c r="H513" t="s">
        <v>26</v>
      </c>
      <c r="J513">
        <v>1967</v>
      </c>
      <c r="K513">
        <f>2026-Table1[[#This Row],[Birthyear]]</f>
        <v>59</v>
      </c>
      <c r="L513" t="s">
        <v>1914</v>
      </c>
      <c r="M513" t="s">
        <v>1396</v>
      </c>
      <c r="N513" t="s">
        <v>1296</v>
      </c>
      <c r="O513" t="s">
        <v>1740</v>
      </c>
      <c r="P513">
        <v>2020</v>
      </c>
      <c r="Q513" t="s">
        <v>1344</v>
      </c>
      <c r="R513" t="s">
        <v>1299</v>
      </c>
      <c r="T513" t="str">
        <f>CONCATENATE(Table1[[#This Row],[Name]]," ",Table1[[#This Row],[Surname/Studio Name/Artistic Name]])</f>
        <v>Petre Petrov</v>
      </c>
    </row>
    <row r="514" spans="1:20" x14ac:dyDescent="0.35">
      <c r="A514">
        <v>513</v>
      </c>
      <c r="B514" t="s">
        <v>971</v>
      </c>
      <c r="C514" t="s">
        <v>972</v>
      </c>
      <c r="D514" t="s">
        <v>572</v>
      </c>
      <c r="E514" t="s">
        <v>1916</v>
      </c>
      <c r="F514" t="s">
        <v>20</v>
      </c>
      <c r="G514" t="s">
        <v>1916</v>
      </c>
      <c r="H514" t="s">
        <v>21</v>
      </c>
      <c r="J514">
        <v>1968</v>
      </c>
      <c r="K514">
        <f>2026-Table1[[#This Row],[Birthyear]]</f>
        <v>58</v>
      </c>
      <c r="L514" t="s">
        <v>1914</v>
      </c>
      <c r="M514" t="s">
        <v>1326</v>
      </c>
      <c r="N514" t="s">
        <v>1296</v>
      </c>
      <c r="O514" t="s">
        <v>1741</v>
      </c>
      <c r="P514">
        <v>2023</v>
      </c>
      <c r="Q514" t="s">
        <v>1344</v>
      </c>
      <c r="R514" t="s">
        <v>1299</v>
      </c>
      <c r="T514" t="str">
        <f>CONCATENATE(Table1[[#This Row],[Name]]," ",Table1[[#This Row],[Surname/Studio Name/Artistic Name]])</f>
        <v>Agnessa Petrova</v>
      </c>
    </row>
    <row r="515" spans="1:20" x14ac:dyDescent="0.35">
      <c r="A515">
        <v>514</v>
      </c>
      <c r="B515" t="s">
        <v>973</v>
      </c>
      <c r="C515" t="s">
        <v>974</v>
      </c>
      <c r="D515" t="s">
        <v>300</v>
      </c>
      <c r="E515" t="s">
        <v>1916</v>
      </c>
      <c r="F515" t="s">
        <v>20</v>
      </c>
      <c r="G515" t="s">
        <v>1916</v>
      </c>
      <c r="H515" t="s">
        <v>21</v>
      </c>
      <c r="I515" t="s">
        <v>22</v>
      </c>
      <c r="J515">
        <v>1964</v>
      </c>
      <c r="K515">
        <f>2026-Table1[[#This Row],[Birthyear]]</f>
        <v>62</v>
      </c>
      <c r="L515" t="s">
        <v>1290</v>
      </c>
      <c r="M515" t="s">
        <v>1290</v>
      </c>
      <c r="N515" t="s">
        <v>1296</v>
      </c>
      <c r="O515" t="s">
        <v>1742</v>
      </c>
      <c r="Q515" t="s">
        <v>1306</v>
      </c>
      <c r="R515" t="s">
        <v>1743</v>
      </c>
      <c r="S515" t="s">
        <v>1527</v>
      </c>
      <c r="T515" t="str">
        <f>CONCATENATE(Table1[[#This Row],[Name]]," ",Table1[[#This Row],[Surname/Studio Name/Artistic Name]])</f>
        <v>Françoise Pétrovitch</v>
      </c>
    </row>
    <row r="516" spans="1:20" x14ac:dyDescent="0.35">
      <c r="A516">
        <v>515</v>
      </c>
      <c r="B516" t="s">
        <v>975</v>
      </c>
      <c r="C516" t="s">
        <v>976</v>
      </c>
      <c r="D516" t="s">
        <v>582</v>
      </c>
      <c r="E516" t="s">
        <v>1916</v>
      </c>
      <c r="F516" t="s">
        <v>20</v>
      </c>
      <c r="G516" t="s">
        <v>1916</v>
      </c>
      <c r="H516" t="s">
        <v>26</v>
      </c>
      <c r="J516">
        <v>1987</v>
      </c>
      <c r="K516">
        <f>2026-Table1[[#This Row],[Birthyear]]</f>
        <v>39</v>
      </c>
      <c r="L516" t="s">
        <v>1914</v>
      </c>
      <c r="M516" t="s">
        <v>1326</v>
      </c>
      <c r="N516" t="s">
        <v>1296</v>
      </c>
      <c r="O516" t="s">
        <v>1744</v>
      </c>
      <c r="P516">
        <v>2023</v>
      </c>
      <c r="Q516" t="s">
        <v>1344</v>
      </c>
      <c r="T516" t="str">
        <f>CONCATENATE(Table1[[#This Row],[Name]]," ",Table1[[#This Row],[Surname/Studio Name/Artistic Name]])</f>
        <v>Aleksandre Phophkhadze</v>
      </c>
    </row>
    <row r="517" spans="1:20" x14ac:dyDescent="0.35">
      <c r="A517">
        <v>516</v>
      </c>
      <c r="B517" t="s">
        <v>977</v>
      </c>
      <c r="C517" t="s">
        <v>978</v>
      </c>
      <c r="D517" t="s">
        <v>290</v>
      </c>
      <c r="E517" t="s">
        <v>1916</v>
      </c>
      <c r="F517" t="s">
        <v>20</v>
      </c>
      <c r="G517" t="s">
        <v>1916</v>
      </c>
      <c r="H517" t="s">
        <v>26</v>
      </c>
      <c r="J517">
        <v>1985</v>
      </c>
      <c r="K517">
        <f>2026-Table1[[#This Row],[Birthyear]]</f>
        <v>41</v>
      </c>
      <c r="L517" t="s">
        <v>1900</v>
      </c>
      <c r="M517" t="s">
        <v>1295</v>
      </c>
      <c r="N517" t="s">
        <v>1296</v>
      </c>
      <c r="O517" t="s">
        <v>1745</v>
      </c>
      <c r="P517">
        <v>2023</v>
      </c>
      <c r="Q517" t="s">
        <v>1608</v>
      </c>
      <c r="R517" t="s">
        <v>1299</v>
      </c>
      <c r="S517" t="s">
        <v>1746</v>
      </c>
      <c r="T517" t="str">
        <f>CONCATENATE(Table1[[#This Row],[Name]]," ",Table1[[#This Row],[Surname/Studio Name/Artistic Name]])</f>
        <v>Ezequiel  Pini (Six N. Five)</v>
      </c>
    </row>
    <row r="518" spans="1:20" x14ac:dyDescent="0.35">
      <c r="A518">
        <v>517</v>
      </c>
      <c r="B518" t="s">
        <v>979</v>
      </c>
      <c r="C518" t="s">
        <v>980</v>
      </c>
      <c r="D518" t="s">
        <v>228</v>
      </c>
      <c r="E518" t="s">
        <v>1916</v>
      </c>
      <c r="F518" t="s">
        <v>20</v>
      </c>
      <c r="G518" t="s">
        <v>1916</v>
      </c>
      <c r="H518" t="s">
        <v>26</v>
      </c>
      <c r="J518">
        <v>1975</v>
      </c>
      <c r="K518">
        <f>2026-Table1[[#This Row],[Birthyear]]</f>
        <v>51</v>
      </c>
      <c r="L518" t="s">
        <v>1914</v>
      </c>
      <c r="M518" t="s">
        <v>1345</v>
      </c>
      <c r="N518" t="s">
        <v>1296</v>
      </c>
      <c r="O518" t="s">
        <v>1747</v>
      </c>
      <c r="P518">
        <v>2021</v>
      </c>
      <c r="Q518" t="s">
        <v>1344</v>
      </c>
      <c r="R518" t="s">
        <v>1299</v>
      </c>
      <c r="T518" t="str">
        <f>CONCATENATE(Table1[[#This Row],[Name]]," ",Table1[[#This Row],[Surname/Studio Name/Artistic Name]])</f>
        <v>Fernando Pinto</v>
      </c>
    </row>
    <row r="519" spans="1:20" x14ac:dyDescent="0.35">
      <c r="A519">
        <v>518</v>
      </c>
      <c r="B519" t="s">
        <v>981</v>
      </c>
      <c r="D519" t="s">
        <v>417</v>
      </c>
      <c r="E519" t="s">
        <v>1916</v>
      </c>
      <c r="F519" t="s">
        <v>20</v>
      </c>
      <c r="G519" t="s">
        <v>1916</v>
      </c>
      <c r="H519" t="s">
        <v>21</v>
      </c>
      <c r="J519">
        <v>1962</v>
      </c>
      <c r="K519">
        <f>2026-Table1[[#This Row],[Birthyear]]</f>
        <v>64</v>
      </c>
      <c r="L519" t="s">
        <v>1290</v>
      </c>
      <c r="M519" t="s">
        <v>1290</v>
      </c>
      <c r="N519" t="s">
        <v>1291</v>
      </c>
      <c r="S519" t="s">
        <v>1687</v>
      </c>
      <c r="T519" t="str">
        <f>CONCATENATE(Table1[[#This Row],[Name]]," ",Table1[[#This Row],[Surname/Studio Name/Artistic Name]])</f>
        <v xml:space="preserve"> Pipilotti Rist</v>
      </c>
    </row>
    <row r="520" spans="1:20" x14ac:dyDescent="0.35">
      <c r="A520">
        <v>519</v>
      </c>
      <c r="B520" t="s">
        <v>982</v>
      </c>
      <c r="C520" t="s">
        <v>270</v>
      </c>
      <c r="D520" t="s">
        <v>47</v>
      </c>
      <c r="E520" t="s">
        <v>1916</v>
      </c>
      <c r="F520" t="s">
        <v>20</v>
      </c>
      <c r="G520" t="s">
        <v>1916</v>
      </c>
      <c r="H520" t="s">
        <v>26</v>
      </c>
      <c r="J520">
        <v>1933</v>
      </c>
      <c r="K520">
        <f>2026-Table1[[#This Row],[Birthyear]]</f>
        <v>93</v>
      </c>
      <c r="L520" t="s">
        <v>1900</v>
      </c>
      <c r="M520" t="s">
        <v>1295</v>
      </c>
      <c r="N520" t="s">
        <v>1296</v>
      </c>
      <c r="O520" t="s">
        <v>1748</v>
      </c>
      <c r="P520">
        <v>2025</v>
      </c>
      <c r="Q520" t="s">
        <v>1302</v>
      </c>
      <c r="R520" t="s">
        <v>1405</v>
      </c>
      <c r="T520" t="str">
        <f>CONCATENATE(Table1[[#This Row],[Name]]," ",Table1[[#This Row],[Surname/Studio Name/Artistic Name]])</f>
        <v>Michelangelo Pistoletto</v>
      </c>
    </row>
    <row r="521" spans="1:20" x14ac:dyDescent="0.35">
      <c r="A521">
        <v>520</v>
      </c>
      <c r="B521" t="s">
        <v>983</v>
      </c>
      <c r="C521" t="s">
        <v>984</v>
      </c>
      <c r="D521" t="s">
        <v>209</v>
      </c>
      <c r="E521" t="s">
        <v>1916</v>
      </c>
      <c r="F521" t="s">
        <v>25</v>
      </c>
      <c r="G521" t="s">
        <v>1916</v>
      </c>
      <c r="H521" t="s">
        <v>26</v>
      </c>
      <c r="J521">
        <v>1955</v>
      </c>
      <c r="K521">
        <f>2026-Table1[[#This Row],[Birthyear]]</f>
        <v>71</v>
      </c>
      <c r="L521" t="s">
        <v>1910</v>
      </c>
      <c r="M521" t="s">
        <v>1406</v>
      </c>
      <c r="N521" t="s">
        <v>1294</v>
      </c>
      <c r="T521" t="str">
        <f>CONCATENATE(Table1[[#This Row],[Name]]," ",Table1[[#This Row],[Surname/Studio Name/Artistic Name]])</f>
        <v>Jaume Plensa</v>
      </c>
    </row>
    <row r="522" spans="1:20" x14ac:dyDescent="0.35">
      <c r="A522">
        <v>521</v>
      </c>
      <c r="B522" t="s">
        <v>985</v>
      </c>
      <c r="C522" t="s">
        <v>462</v>
      </c>
      <c r="D522" t="s">
        <v>47</v>
      </c>
      <c r="E522" t="s">
        <v>1916</v>
      </c>
      <c r="F522" t="s">
        <v>20</v>
      </c>
      <c r="G522" t="s">
        <v>1916</v>
      </c>
      <c r="H522" t="s">
        <v>26</v>
      </c>
      <c r="J522">
        <v>1940</v>
      </c>
      <c r="K522">
        <f>2026-Table1[[#This Row],[Birthyear]]</f>
        <v>86</v>
      </c>
      <c r="L522" t="s">
        <v>1410</v>
      </c>
      <c r="M522" t="s">
        <v>1410</v>
      </c>
      <c r="N522" t="s">
        <v>1291</v>
      </c>
      <c r="S522" t="s">
        <v>1411</v>
      </c>
      <c r="T522" t="str">
        <f>CONCATENATE(Table1[[#This Row],[Name]]," ",Table1[[#This Row],[Surname/Studio Name/Artistic Name]])</f>
        <v>Fabrizio Plessi</v>
      </c>
    </row>
    <row r="523" spans="1:20" x14ac:dyDescent="0.35">
      <c r="A523">
        <v>522</v>
      </c>
      <c r="B523" t="s">
        <v>986</v>
      </c>
      <c r="C523" t="s">
        <v>987</v>
      </c>
      <c r="D523" t="s">
        <v>211</v>
      </c>
      <c r="E523" t="s">
        <v>1916</v>
      </c>
      <c r="F523" t="s">
        <v>20</v>
      </c>
      <c r="G523" t="s">
        <v>1916</v>
      </c>
      <c r="H523" t="s">
        <v>21</v>
      </c>
      <c r="J523">
        <v>1980</v>
      </c>
      <c r="K523">
        <f>2026-Table1[[#This Row],[Birthyear]]</f>
        <v>46</v>
      </c>
      <c r="L523" t="s">
        <v>1315</v>
      </c>
      <c r="M523" t="s">
        <v>1315</v>
      </c>
      <c r="N523" t="s">
        <v>1327</v>
      </c>
      <c r="S523" t="s">
        <v>1331</v>
      </c>
      <c r="T523" t="str">
        <f>CONCATENATE(Table1[[#This Row],[Name]]," ",Table1[[#This Row],[Surname/Studio Name/Artistic Name]])</f>
        <v>Tula Plumi</v>
      </c>
    </row>
    <row r="524" spans="1:20" x14ac:dyDescent="0.35">
      <c r="A524">
        <v>523</v>
      </c>
      <c r="B524" t="s">
        <v>988</v>
      </c>
      <c r="C524" t="s">
        <v>989</v>
      </c>
      <c r="D524" t="s">
        <v>572</v>
      </c>
      <c r="E524" t="s">
        <v>1916</v>
      </c>
      <c r="F524" t="s">
        <v>20</v>
      </c>
      <c r="G524" t="s">
        <v>1916</v>
      </c>
      <c r="H524" t="s">
        <v>21</v>
      </c>
      <c r="J524">
        <v>1979</v>
      </c>
      <c r="K524">
        <f>2026-Table1[[#This Row],[Birthyear]]</f>
        <v>47</v>
      </c>
      <c r="L524" t="s">
        <v>1914</v>
      </c>
      <c r="M524" t="s">
        <v>1326</v>
      </c>
      <c r="N524" t="s">
        <v>1296</v>
      </c>
      <c r="O524" t="s">
        <v>1749</v>
      </c>
      <c r="P524">
        <v>2023</v>
      </c>
      <c r="Q524" t="s">
        <v>1344</v>
      </c>
      <c r="R524" t="s">
        <v>1299</v>
      </c>
      <c r="T524" t="str">
        <f>CONCATENATE(Table1[[#This Row],[Name]]," ",Table1[[#This Row],[Surname/Studio Name/Artistic Name]])</f>
        <v>Lilya Pobornikova</v>
      </c>
    </row>
    <row r="525" spans="1:20" x14ac:dyDescent="0.35">
      <c r="A525">
        <v>524</v>
      </c>
      <c r="B525" t="s">
        <v>990</v>
      </c>
      <c r="C525" t="s">
        <v>991</v>
      </c>
      <c r="D525" t="s">
        <v>1896</v>
      </c>
      <c r="E525" t="s">
        <v>1916</v>
      </c>
      <c r="F525" t="s">
        <v>20</v>
      </c>
      <c r="G525" t="s">
        <v>1916</v>
      </c>
      <c r="H525" t="s">
        <v>26</v>
      </c>
      <c r="I525" t="s">
        <v>22</v>
      </c>
      <c r="J525">
        <v>1986</v>
      </c>
      <c r="K525">
        <f>2026-Table1[[#This Row],[Birthyear]]</f>
        <v>40</v>
      </c>
      <c r="L525" t="s">
        <v>1315</v>
      </c>
      <c r="M525" t="s">
        <v>1315</v>
      </c>
      <c r="N525" t="s">
        <v>1291</v>
      </c>
      <c r="S525" t="s">
        <v>1331</v>
      </c>
      <c r="T525" t="str">
        <f>CONCATENATE(Table1[[#This Row],[Name]]," ",Table1[[#This Row],[Surname/Studio Name/Artistic Name]])</f>
        <v>Victor Polyakov</v>
      </c>
    </row>
    <row r="526" spans="1:20" x14ac:dyDescent="0.35">
      <c r="A526">
        <v>525</v>
      </c>
      <c r="B526" t="s">
        <v>992</v>
      </c>
      <c r="C526" t="s">
        <v>993</v>
      </c>
      <c r="D526" t="s">
        <v>1891</v>
      </c>
      <c r="E526" t="s">
        <v>1916</v>
      </c>
      <c r="F526" t="s">
        <v>20</v>
      </c>
      <c r="G526" t="s">
        <v>1916</v>
      </c>
      <c r="H526" t="s">
        <v>21</v>
      </c>
      <c r="J526">
        <v>1952</v>
      </c>
      <c r="K526">
        <f>2026-Table1[[#This Row],[Birthyear]]</f>
        <v>74</v>
      </c>
      <c r="L526" t="s">
        <v>1315</v>
      </c>
      <c r="M526" t="s">
        <v>1315</v>
      </c>
      <c r="N526" t="s">
        <v>1327</v>
      </c>
      <c r="S526" t="s">
        <v>1336</v>
      </c>
      <c r="T526" t="str">
        <f>CONCATENATE(Table1[[#This Row],[Name]]," ",Table1[[#This Row],[Surname/Studio Name/Artistic Name]])</f>
        <v>Rona Pondik</v>
      </c>
    </row>
    <row r="527" spans="1:20" x14ac:dyDescent="0.35">
      <c r="A527">
        <v>526</v>
      </c>
      <c r="B527" t="s">
        <v>994</v>
      </c>
      <c r="C527" t="s">
        <v>276</v>
      </c>
      <c r="D527" t="s">
        <v>1891</v>
      </c>
      <c r="E527" t="s">
        <v>1916</v>
      </c>
      <c r="F527" t="s">
        <v>20</v>
      </c>
      <c r="G527" t="s">
        <v>1916</v>
      </c>
      <c r="H527" t="s">
        <v>26</v>
      </c>
      <c r="J527">
        <v>1971</v>
      </c>
      <c r="K527">
        <f>2026-Table1[[#This Row],[Birthyear]]</f>
        <v>55</v>
      </c>
      <c r="L527" t="s">
        <v>1290</v>
      </c>
      <c r="M527" t="s">
        <v>1290</v>
      </c>
      <c r="N527" t="s">
        <v>1291</v>
      </c>
      <c r="S527" t="s">
        <v>1468</v>
      </c>
      <c r="T527" t="str">
        <f>CONCATENATE(Table1[[#This Row],[Name]]," ",Table1[[#This Row],[Surname/Studio Name/Artistic Name]])</f>
        <v>Mike Portnoy</v>
      </c>
    </row>
    <row r="528" spans="1:20" x14ac:dyDescent="0.35">
      <c r="A528">
        <v>527</v>
      </c>
      <c r="B528" t="s">
        <v>995</v>
      </c>
      <c r="C528" t="s">
        <v>996</v>
      </c>
      <c r="D528" t="s">
        <v>211</v>
      </c>
      <c r="E528" t="s">
        <v>1916</v>
      </c>
      <c r="F528" t="s">
        <v>20</v>
      </c>
      <c r="G528" t="s">
        <v>1916</v>
      </c>
      <c r="H528" t="s">
        <v>21</v>
      </c>
      <c r="I528" t="s">
        <v>22</v>
      </c>
      <c r="J528">
        <v>1971</v>
      </c>
      <c r="K528">
        <f>2026-Table1[[#This Row],[Birthyear]]</f>
        <v>55</v>
      </c>
      <c r="L528" t="s">
        <v>1290</v>
      </c>
      <c r="M528" t="s">
        <v>1290</v>
      </c>
      <c r="N528" t="s">
        <v>1291</v>
      </c>
      <c r="S528" t="s">
        <v>1750</v>
      </c>
      <c r="T528" t="str">
        <f>CONCATENATE(Table1[[#This Row],[Name]]," ",Table1[[#This Row],[Surname/Studio Name/Artistic Name]])</f>
        <v>Bettina Pousttchi</v>
      </c>
    </row>
    <row r="529" spans="1:20" x14ac:dyDescent="0.35">
      <c r="A529">
        <v>528</v>
      </c>
      <c r="B529" t="s">
        <v>997</v>
      </c>
      <c r="C529" t="s">
        <v>998</v>
      </c>
      <c r="D529" t="s">
        <v>905</v>
      </c>
      <c r="E529" t="s">
        <v>1916</v>
      </c>
      <c r="F529" t="s">
        <v>20</v>
      </c>
      <c r="G529" t="s">
        <v>1916</v>
      </c>
      <c r="H529" t="s">
        <v>26</v>
      </c>
      <c r="J529">
        <v>1981</v>
      </c>
      <c r="K529">
        <f>2026-Table1[[#This Row],[Birthyear]]</f>
        <v>45</v>
      </c>
      <c r="L529" t="s">
        <v>1900</v>
      </c>
      <c r="M529" t="s">
        <v>1310</v>
      </c>
      <c r="N529" t="s">
        <v>1296</v>
      </c>
      <c r="O529" t="s">
        <v>1751</v>
      </c>
      <c r="P529">
        <v>2018</v>
      </c>
      <c r="Q529" t="s">
        <v>1334</v>
      </c>
      <c r="R529" t="s">
        <v>1752</v>
      </c>
      <c r="T529" t="str">
        <f>CONCATENATE(Table1[[#This Row],[Name]]," ",Table1[[#This Row],[Surname/Studio Name/Artistic Name]])</f>
        <v>Felipe Prado</v>
      </c>
    </row>
    <row r="530" spans="1:20" x14ac:dyDescent="0.35">
      <c r="A530">
        <v>529</v>
      </c>
      <c r="B530" t="s">
        <v>999</v>
      </c>
      <c r="C530" t="s">
        <v>584</v>
      </c>
      <c r="D530" t="s">
        <v>1891</v>
      </c>
      <c r="E530" t="s">
        <v>1916</v>
      </c>
      <c r="F530" t="s">
        <v>20</v>
      </c>
      <c r="G530" t="s">
        <v>1916</v>
      </c>
      <c r="H530" t="s">
        <v>26</v>
      </c>
      <c r="J530">
        <v>1964</v>
      </c>
      <c r="K530">
        <f>2026-Table1[[#This Row],[Birthyear]]</f>
        <v>62</v>
      </c>
      <c r="L530" t="s">
        <v>1357</v>
      </c>
      <c r="M530" t="s">
        <v>1357</v>
      </c>
      <c r="N530" t="s">
        <v>1309</v>
      </c>
      <c r="S530" t="s">
        <v>1753</v>
      </c>
      <c r="T530" t="str">
        <f>CONCATENATE(Table1[[#This Row],[Name]]," ",Table1[[#This Row],[Surname/Studio Name/Artistic Name]])</f>
        <v>Rob Pruitt</v>
      </c>
    </row>
    <row r="531" spans="1:20" x14ac:dyDescent="0.35">
      <c r="A531">
        <v>530</v>
      </c>
      <c r="B531" t="s">
        <v>1000</v>
      </c>
      <c r="C531" t="s">
        <v>75</v>
      </c>
      <c r="D531" t="s">
        <v>29</v>
      </c>
      <c r="E531" t="s">
        <v>1916</v>
      </c>
      <c r="F531" t="s">
        <v>25</v>
      </c>
      <c r="G531" t="s">
        <v>1916</v>
      </c>
      <c r="H531" t="s">
        <v>26</v>
      </c>
      <c r="J531">
        <v>1988</v>
      </c>
      <c r="K531">
        <f>2026-Table1[[#This Row],[Birthyear]]</f>
        <v>38</v>
      </c>
      <c r="L531" t="s">
        <v>1293</v>
      </c>
      <c r="M531" t="s">
        <v>1293</v>
      </c>
      <c r="N531" t="s">
        <v>1294</v>
      </c>
      <c r="T531" t="str">
        <f>CONCATENATE(Table1[[#This Row],[Name]]," ",Table1[[#This Row],[Surname/Studio Name/Artistic Name]])</f>
        <v>Abdullah Qandeel</v>
      </c>
    </row>
    <row r="532" spans="1:20" x14ac:dyDescent="0.35">
      <c r="A532">
        <v>531</v>
      </c>
      <c r="B532" t="s">
        <v>1001</v>
      </c>
      <c r="C532" t="s">
        <v>1002</v>
      </c>
      <c r="D532" t="s">
        <v>383</v>
      </c>
      <c r="E532" t="s">
        <v>1916</v>
      </c>
      <c r="F532" t="s">
        <v>20</v>
      </c>
      <c r="G532" t="s">
        <v>1916</v>
      </c>
      <c r="H532" t="s">
        <v>26</v>
      </c>
      <c r="J532">
        <v>1981</v>
      </c>
      <c r="K532">
        <f>2026-Table1[[#This Row],[Birthyear]]</f>
        <v>45</v>
      </c>
      <c r="L532" t="s">
        <v>1900</v>
      </c>
      <c r="M532" t="s">
        <v>1317</v>
      </c>
      <c r="N532" t="s">
        <v>1296</v>
      </c>
      <c r="O532" t="s">
        <v>1754</v>
      </c>
      <c r="P532">
        <v>2023</v>
      </c>
      <c r="Q532" t="s">
        <v>1298</v>
      </c>
      <c r="R532" t="s">
        <v>1755</v>
      </c>
      <c r="S532" t="s">
        <v>1341</v>
      </c>
      <c r="T532" t="str">
        <f>CONCATENATE(Table1[[#This Row],[Name]]," ",Table1[[#This Row],[Surname/Studio Name/Artistic Name]])</f>
        <v>Li Qing​</v>
      </c>
    </row>
    <row r="533" spans="1:20" x14ac:dyDescent="0.35">
      <c r="A533">
        <v>532</v>
      </c>
      <c r="B533" t="s">
        <v>1003</v>
      </c>
      <c r="C533" t="s">
        <v>1004</v>
      </c>
      <c r="D533" t="s">
        <v>47</v>
      </c>
      <c r="E533" t="s">
        <v>1916</v>
      </c>
      <c r="F533" t="s">
        <v>20</v>
      </c>
      <c r="G533" t="s">
        <v>1916</v>
      </c>
      <c r="H533" t="s">
        <v>26</v>
      </c>
      <c r="I533" t="s">
        <v>22</v>
      </c>
      <c r="J533">
        <v>1982</v>
      </c>
      <c r="K533">
        <f>2026-Table1[[#This Row],[Birthyear]]</f>
        <v>44</v>
      </c>
      <c r="L533" t="s">
        <v>1290</v>
      </c>
      <c r="M533" t="s">
        <v>1290</v>
      </c>
      <c r="N533" t="s">
        <v>1291</v>
      </c>
      <c r="S533" t="s">
        <v>1756</v>
      </c>
      <c r="T533" t="str">
        <f>CONCATENATE(Table1[[#This Row],[Name]]," ",Table1[[#This Row],[Surname/Studio Name/Artistic Name]])</f>
        <v>Davide Quayola</v>
      </c>
    </row>
    <row r="534" spans="1:20" x14ac:dyDescent="0.35">
      <c r="A534">
        <v>533</v>
      </c>
      <c r="B534" t="s">
        <v>1005</v>
      </c>
      <c r="C534" t="s">
        <v>1006</v>
      </c>
      <c r="D534" t="s">
        <v>47</v>
      </c>
      <c r="E534" t="s">
        <v>1916</v>
      </c>
      <c r="F534" t="s">
        <v>20</v>
      </c>
      <c r="G534" t="s">
        <v>1916</v>
      </c>
      <c r="H534" t="s">
        <v>26</v>
      </c>
      <c r="J534">
        <v>1966</v>
      </c>
      <c r="K534">
        <f>2026-Table1[[#This Row],[Birthyear]]</f>
        <v>60</v>
      </c>
      <c r="L534" t="s">
        <v>1315</v>
      </c>
      <c r="M534" t="s">
        <v>1315</v>
      </c>
      <c r="N534" t="s">
        <v>1291</v>
      </c>
      <c r="S534" t="s">
        <v>1316</v>
      </c>
      <c r="T534" t="str">
        <f>CONCATENATE(Table1[[#This Row],[Name]]," ",Table1[[#This Row],[Surname/Studio Name/Artistic Name]])</f>
        <v>Lorenzo Quinn</v>
      </c>
    </row>
    <row r="535" spans="1:20" x14ac:dyDescent="0.35">
      <c r="A535">
        <v>534</v>
      </c>
      <c r="B535" t="s">
        <v>1007</v>
      </c>
      <c r="C535" t="s">
        <v>1008</v>
      </c>
      <c r="D535" t="s">
        <v>447</v>
      </c>
      <c r="E535" t="s">
        <v>1916</v>
      </c>
      <c r="F535" t="s">
        <v>20</v>
      </c>
      <c r="G535" t="s">
        <v>1916</v>
      </c>
      <c r="H535" t="s">
        <v>26</v>
      </c>
      <c r="I535" t="s">
        <v>22</v>
      </c>
      <c r="J535">
        <v>1971</v>
      </c>
      <c r="K535">
        <f>2026-Table1[[#This Row],[Birthyear]]</f>
        <v>55</v>
      </c>
      <c r="L535" t="s">
        <v>1900</v>
      </c>
      <c r="M535" t="s">
        <v>1300</v>
      </c>
      <c r="N535" t="s">
        <v>1296</v>
      </c>
      <c r="O535" t="s">
        <v>1757</v>
      </c>
      <c r="P535">
        <v>2022</v>
      </c>
      <c r="Q535" t="s">
        <v>1298</v>
      </c>
      <c r="R535" t="s">
        <v>1758</v>
      </c>
      <c r="T535" t="str">
        <f>CONCATENATE(Table1[[#This Row],[Name]]," ",Table1[[#This Row],[Surname/Studio Name/Artistic Name]])</f>
        <v>Arne Quinze</v>
      </c>
    </row>
    <row r="536" spans="1:20" x14ac:dyDescent="0.35">
      <c r="A536">
        <v>535</v>
      </c>
      <c r="B536" t="s">
        <v>1009</v>
      </c>
      <c r="C536" t="s">
        <v>1010</v>
      </c>
      <c r="D536" t="s">
        <v>257</v>
      </c>
      <c r="E536" t="s">
        <v>1916</v>
      </c>
      <c r="F536" t="s">
        <v>20</v>
      </c>
      <c r="G536" t="s">
        <v>1916</v>
      </c>
      <c r="H536" t="s">
        <v>26</v>
      </c>
      <c r="J536">
        <v>1967</v>
      </c>
      <c r="K536">
        <f>2026-Table1[[#This Row],[Birthyear]]</f>
        <v>59</v>
      </c>
      <c r="L536" t="s">
        <v>1290</v>
      </c>
      <c r="M536" t="s">
        <v>1290</v>
      </c>
      <c r="N536" t="s">
        <v>1337</v>
      </c>
      <c r="S536" t="s">
        <v>1645</v>
      </c>
      <c r="T536" t="str">
        <f>CONCATENATE(Table1[[#This Row],[Name]]," ",Table1[[#This Row],[Surname/Studio Name/Artistic Name]])</f>
        <v>Walid Raad</v>
      </c>
    </row>
    <row r="537" spans="1:20" x14ac:dyDescent="0.35">
      <c r="A537">
        <v>536</v>
      </c>
      <c r="B537" t="s">
        <v>1011</v>
      </c>
      <c r="C537" t="s">
        <v>1012</v>
      </c>
      <c r="D537" t="s">
        <v>1895</v>
      </c>
      <c r="E537" t="s">
        <v>1916</v>
      </c>
      <c r="F537" t="s">
        <v>20</v>
      </c>
      <c r="G537" t="s">
        <v>1916</v>
      </c>
      <c r="H537" t="s">
        <v>21</v>
      </c>
      <c r="J537">
        <v>1980</v>
      </c>
      <c r="K537">
        <f>2026-Table1[[#This Row],[Birthyear]]</f>
        <v>46</v>
      </c>
      <c r="L537" t="s">
        <v>1914</v>
      </c>
      <c r="M537" t="s">
        <v>1759</v>
      </c>
      <c r="N537" t="s">
        <v>1296</v>
      </c>
      <c r="O537" t="s">
        <v>1760</v>
      </c>
      <c r="P537">
        <v>2026</v>
      </c>
      <c r="Q537" t="s">
        <v>1344</v>
      </c>
      <c r="T537" t="str">
        <f>CONCATENATE(Table1[[#This Row],[Name]]," ",Table1[[#This Row],[Surname/Studio Name/Artistic Name]])</f>
        <v>Zahra Rahimi</v>
      </c>
    </row>
    <row r="538" spans="1:20" x14ac:dyDescent="0.35">
      <c r="A538">
        <v>537</v>
      </c>
      <c r="B538" t="s">
        <v>1013</v>
      </c>
      <c r="C538" t="s">
        <v>1014</v>
      </c>
      <c r="D538" t="s">
        <v>297</v>
      </c>
      <c r="E538" t="s">
        <v>1916</v>
      </c>
      <c r="F538" t="s">
        <v>20</v>
      </c>
      <c r="G538" t="s">
        <v>1916</v>
      </c>
      <c r="H538" t="s">
        <v>26</v>
      </c>
      <c r="J538">
        <v>1975</v>
      </c>
      <c r="K538">
        <f>2026-Table1[[#This Row],[Birthyear]]</f>
        <v>51</v>
      </c>
      <c r="L538" t="s">
        <v>1900</v>
      </c>
      <c r="M538" t="s">
        <v>1317</v>
      </c>
      <c r="N538" t="s">
        <v>1296</v>
      </c>
      <c r="O538" t="s">
        <v>1761</v>
      </c>
      <c r="P538">
        <v>2023</v>
      </c>
      <c r="Q538" t="s">
        <v>1298</v>
      </c>
      <c r="R538" t="s">
        <v>1382</v>
      </c>
      <c r="S538" t="s">
        <v>1341</v>
      </c>
      <c r="T538" t="str">
        <f>CONCATENATE(Table1[[#This Row],[Name]]," ",Table1[[#This Row],[Surname/Studio Name/Artistic Name]])</f>
        <v>Younes Rahmoun​</v>
      </c>
    </row>
    <row r="539" spans="1:20" x14ac:dyDescent="0.35">
      <c r="A539">
        <v>538</v>
      </c>
      <c r="B539" t="s">
        <v>1015</v>
      </c>
      <c r="C539" t="s">
        <v>1016</v>
      </c>
      <c r="D539" t="s">
        <v>905</v>
      </c>
      <c r="E539" t="s">
        <v>1916</v>
      </c>
      <c r="F539" t="s">
        <v>20</v>
      </c>
      <c r="G539" t="s">
        <v>1916</v>
      </c>
      <c r="H539" t="s">
        <v>26</v>
      </c>
      <c r="J539">
        <v>1979</v>
      </c>
      <c r="K539">
        <f>2026-Table1[[#This Row],[Birthyear]]</f>
        <v>47</v>
      </c>
      <c r="L539" t="s">
        <v>1290</v>
      </c>
      <c r="M539" t="s">
        <v>1290</v>
      </c>
      <c r="N539" t="s">
        <v>1291</v>
      </c>
      <c r="S539" t="s">
        <v>1452</v>
      </c>
      <c r="T539" t="str">
        <f>CONCATENATE(Table1[[#This Row],[Name]]," ",Table1[[#This Row],[Surname/Studio Name/Artistic Name]])</f>
        <v>Enrique Ramirez</v>
      </c>
    </row>
    <row r="540" spans="1:20" x14ac:dyDescent="0.35">
      <c r="A540">
        <v>539</v>
      </c>
      <c r="B540" t="s">
        <v>1017</v>
      </c>
      <c r="C540" t="s">
        <v>1018</v>
      </c>
      <c r="D540" t="s">
        <v>47</v>
      </c>
      <c r="E540" t="s">
        <v>1916</v>
      </c>
      <c r="F540" t="s">
        <v>20</v>
      </c>
      <c r="G540" t="s">
        <v>1916</v>
      </c>
      <c r="H540" t="s">
        <v>26</v>
      </c>
      <c r="J540">
        <v>1974</v>
      </c>
      <c r="K540">
        <f>2026-Table1[[#This Row],[Birthyear]]</f>
        <v>52</v>
      </c>
      <c r="L540" t="s">
        <v>1914</v>
      </c>
      <c r="M540" t="s">
        <v>1345</v>
      </c>
      <c r="N540" t="s">
        <v>1296</v>
      </c>
      <c r="O540" t="s">
        <v>1762</v>
      </c>
      <c r="P540">
        <v>2021</v>
      </c>
      <c r="Q540" t="s">
        <v>1344</v>
      </c>
      <c r="R540" t="s">
        <v>1299</v>
      </c>
      <c r="T540" t="str">
        <f>CONCATENATE(Table1[[#This Row],[Name]]," ",Table1[[#This Row],[Surname/Studio Name/Artistic Name]])</f>
        <v>Alessio Ranaldi</v>
      </c>
    </row>
    <row r="541" spans="1:20" x14ac:dyDescent="0.35">
      <c r="A541">
        <v>540</v>
      </c>
      <c r="B541" t="s">
        <v>1019</v>
      </c>
      <c r="D541" t="s">
        <v>211</v>
      </c>
      <c r="E541" t="s">
        <v>1916</v>
      </c>
      <c r="F541" t="s">
        <v>20</v>
      </c>
      <c r="G541" t="s">
        <v>1916</v>
      </c>
      <c r="H541" t="s">
        <v>26</v>
      </c>
      <c r="I541" t="s">
        <v>22</v>
      </c>
      <c r="J541">
        <v>1975</v>
      </c>
      <c r="K541">
        <f>2026-Table1[[#This Row],[Birthyear]]</f>
        <v>51</v>
      </c>
      <c r="L541" t="s">
        <v>1293</v>
      </c>
      <c r="M541" t="s">
        <v>1293</v>
      </c>
      <c r="N541" t="s">
        <v>1296</v>
      </c>
      <c r="O541" t="s">
        <v>1763</v>
      </c>
      <c r="Q541" t="s">
        <v>1298</v>
      </c>
      <c r="R541" t="s">
        <v>1764</v>
      </c>
      <c r="S541" t="s">
        <v>1765</v>
      </c>
      <c r="T541" t="str">
        <f>CONCATENATE(Table1[[#This Row],[Name]]," ",Table1[[#This Row],[Surname/Studio Name/Artistic Name]])</f>
        <v xml:space="preserve"> Random International </v>
      </c>
    </row>
    <row r="542" spans="1:20" x14ac:dyDescent="0.35">
      <c r="A542">
        <v>541</v>
      </c>
      <c r="B542" t="s">
        <v>1020</v>
      </c>
      <c r="C542" t="s">
        <v>749</v>
      </c>
      <c r="D542" t="s">
        <v>338</v>
      </c>
      <c r="E542" t="s">
        <v>1916</v>
      </c>
      <c r="F542" t="s">
        <v>20</v>
      </c>
      <c r="G542" t="s">
        <v>1916</v>
      </c>
      <c r="H542" t="s">
        <v>21</v>
      </c>
      <c r="J542">
        <v>1981</v>
      </c>
      <c r="K542">
        <f>2026-Table1[[#This Row],[Birthyear]]</f>
        <v>45</v>
      </c>
      <c r="L542" t="s">
        <v>1914</v>
      </c>
      <c r="M542" t="s">
        <v>1345</v>
      </c>
      <c r="N542" t="s">
        <v>1309</v>
      </c>
      <c r="T542" t="str">
        <f>CONCATENATE(Table1[[#This Row],[Name]]," ",Table1[[#This Row],[Surname/Studio Name/Artistic Name]])</f>
        <v>Anna Rasinska</v>
      </c>
    </row>
    <row r="543" spans="1:20" x14ac:dyDescent="0.35">
      <c r="A543">
        <v>542</v>
      </c>
      <c r="B543" t="s">
        <v>1020</v>
      </c>
      <c r="C543" t="s">
        <v>1021</v>
      </c>
      <c r="D543" t="s">
        <v>338</v>
      </c>
      <c r="E543" t="s">
        <v>1916</v>
      </c>
      <c r="F543" t="s">
        <v>20</v>
      </c>
      <c r="G543" t="s">
        <v>1916</v>
      </c>
      <c r="H543" t="s">
        <v>21</v>
      </c>
      <c r="J543">
        <v>1981</v>
      </c>
      <c r="K543">
        <f>2026-Table1[[#This Row],[Birthyear]]</f>
        <v>45</v>
      </c>
      <c r="L543" t="s">
        <v>1914</v>
      </c>
      <c r="M543" t="s">
        <v>1342</v>
      </c>
      <c r="N543" t="s">
        <v>1296</v>
      </c>
      <c r="O543" t="s">
        <v>1766</v>
      </c>
      <c r="P543">
        <v>2025</v>
      </c>
      <c r="Q543" t="s">
        <v>1344</v>
      </c>
      <c r="T543" t="str">
        <f>CONCATENATE(Table1[[#This Row],[Name]]," ",Table1[[#This Row],[Surname/Studio Name/Artistic Name]])</f>
        <v>Anna Teresa Rasinska</v>
      </c>
    </row>
    <row r="544" spans="1:20" x14ac:dyDescent="0.35">
      <c r="A544">
        <v>543</v>
      </c>
      <c r="B544" t="s">
        <v>1022</v>
      </c>
      <c r="C544" t="s">
        <v>1023</v>
      </c>
      <c r="D544" t="s">
        <v>1024</v>
      </c>
      <c r="E544" t="s">
        <v>1916</v>
      </c>
      <c r="F544" t="s">
        <v>20</v>
      </c>
      <c r="G544" t="s">
        <v>1916</v>
      </c>
      <c r="H544" t="s">
        <v>26</v>
      </c>
      <c r="J544">
        <v>1971</v>
      </c>
      <c r="K544">
        <f>2026-Table1[[#This Row],[Birthyear]]</f>
        <v>55</v>
      </c>
      <c r="L544" t="s">
        <v>1290</v>
      </c>
      <c r="M544" t="s">
        <v>1290</v>
      </c>
      <c r="N544" t="s">
        <v>1291</v>
      </c>
      <c r="S544" t="s">
        <v>1464</v>
      </c>
      <c r="T544" t="str">
        <f>CONCATENATE(Table1[[#This Row],[Name]]," ",Table1[[#This Row],[Surname/Studio Name/Artistic Name]])</f>
        <v>Navin Rawanchaikul</v>
      </c>
    </row>
    <row r="545" spans="1:20" x14ac:dyDescent="0.35">
      <c r="A545">
        <v>544</v>
      </c>
      <c r="B545" t="s">
        <v>1025</v>
      </c>
      <c r="C545" t="s">
        <v>1026</v>
      </c>
      <c r="D545" t="s">
        <v>211</v>
      </c>
      <c r="E545" t="s">
        <v>1916</v>
      </c>
      <c r="F545" t="s">
        <v>20</v>
      </c>
      <c r="G545" t="s">
        <v>1916</v>
      </c>
      <c r="H545" t="s">
        <v>26</v>
      </c>
      <c r="J545">
        <v>1966</v>
      </c>
      <c r="K545">
        <f>2026-Table1[[#This Row],[Birthyear]]</f>
        <v>60</v>
      </c>
      <c r="L545" t="s">
        <v>1357</v>
      </c>
      <c r="M545" t="s">
        <v>1357</v>
      </c>
      <c r="N545" t="s">
        <v>1309</v>
      </c>
      <c r="S545" t="s">
        <v>1767</v>
      </c>
      <c r="T545" t="str">
        <f>CONCATENATE(Table1[[#This Row],[Name]]," ",Table1[[#This Row],[Surname/Studio Name/Artistic Name]])</f>
        <v>Tobias Rehberger</v>
      </c>
    </row>
    <row r="546" spans="1:20" x14ac:dyDescent="0.35">
      <c r="A546">
        <v>545</v>
      </c>
      <c r="B546" t="s">
        <v>1027</v>
      </c>
      <c r="C546" t="s">
        <v>1028</v>
      </c>
      <c r="D546" t="s">
        <v>290</v>
      </c>
      <c r="E546" t="s">
        <v>1916</v>
      </c>
      <c r="F546" t="s">
        <v>20</v>
      </c>
      <c r="G546" t="s">
        <v>1916</v>
      </c>
      <c r="H546" t="s">
        <v>26</v>
      </c>
      <c r="I546" t="s">
        <v>22</v>
      </c>
      <c r="J546">
        <v>1990</v>
      </c>
      <c r="K546">
        <f>2026-Table1[[#This Row],[Birthyear]]</f>
        <v>36</v>
      </c>
      <c r="L546" t="s">
        <v>1290</v>
      </c>
      <c r="M546" t="s">
        <v>1290</v>
      </c>
      <c r="N546" t="s">
        <v>1291</v>
      </c>
      <c r="S546" t="s">
        <v>1314</v>
      </c>
      <c r="T546" t="str">
        <f>CONCATENATE(Table1[[#This Row],[Name]]," ",Table1[[#This Row],[Surname/Studio Name/Artistic Name]])</f>
        <v>Andrés Reisinger</v>
      </c>
    </row>
    <row r="547" spans="1:20" x14ac:dyDescent="0.35">
      <c r="A547">
        <v>546</v>
      </c>
      <c r="B547" t="s">
        <v>1029</v>
      </c>
      <c r="C547" t="s">
        <v>1030</v>
      </c>
      <c r="D547" t="s">
        <v>366</v>
      </c>
      <c r="E547" t="s">
        <v>1916</v>
      </c>
      <c r="F547" t="s">
        <v>20</v>
      </c>
      <c r="G547" t="s">
        <v>1916</v>
      </c>
      <c r="H547" t="s">
        <v>26</v>
      </c>
      <c r="J547">
        <v>1974</v>
      </c>
      <c r="K547">
        <f>2026-Table1[[#This Row],[Birthyear]]</f>
        <v>52</v>
      </c>
      <c r="L547" t="s">
        <v>1315</v>
      </c>
      <c r="M547" t="s">
        <v>1315</v>
      </c>
      <c r="N547" t="s">
        <v>1327</v>
      </c>
      <c r="S547" t="s">
        <v>1470</v>
      </c>
      <c r="T547" t="str">
        <f>CONCATENATE(Table1[[#This Row],[Name]]," ",Table1[[#This Row],[Surname/Studio Name/Artistic Name]])</f>
        <v>Reko Rennie</v>
      </c>
    </row>
    <row r="548" spans="1:20" x14ac:dyDescent="0.35">
      <c r="A548">
        <v>547</v>
      </c>
      <c r="B548" t="s">
        <v>1031</v>
      </c>
      <c r="C548" t="s">
        <v>347</v>
      </c>
      <c r="D548" t="s">
        <v>245</v>
      </c>
      <c r="E548" t="s">
        <v>1916</v>
      </c>
      <c r="F548" t="s">
        <v>20</v>
      </c>
      <c r="G548" t="s">
        <v>1916</v>
      </c>
      <c r="H548" t="s">
        <v>26</v>
      </c>
      <c r="J548">
        <v>1972</v>
      </c>
      <c r="K548">
        <f>2026-Table1[[#This Row],[Birthyear]]</f>
        <v>54</v>
      </c>
      <c r="L548" t="s">
        <v>1290</v>
      </c>
      <c r="M548" t="s">
        <v>1290</v>
      </c>
      <c r="N548" t="s">
        <v>1291</v>
      </c>
      <c r="S548" t="s">
        <v>1464</v>
      </c>
      <c r="T548" t="str">
        <f>CONCATENATE(Table1[[#This Row],[Name]]," ",Table1[[#This Row],[Surname/Studio Name/Artistic Name]])</f>
        <v>Pedro Reyes</v>
      </c>
    </row>
    <row r="549" spans="1:20" x14ac:dyDescent="0.35">
      <c r="A549">
        <v>548</v>
      </c>
      <c r="B549" t="s">
        <v>1032</v>
      </c>
      <c r="C549" t="s">
        <v>1033</v>
      </c>
      <c r="D549" t="s">
        <v>316</v>
      </c>
      <c r="E549" t="s">
        <v>1916</v>
      </c>
      <c r="F549" t="s">
        <v>20</v>
      </c>
      <c r="G549" t="s">
        <v>1916</v>
      </c>
      <c r="H549" t="s">
        <v>26</v>
      </c>
      <c r="J549">
        <v>1976</v>
      </c>
      <c r="K549">
        <f>2026-Table1[[#This Row],[Birthyear]]</f>
        <v>50</v>
      </c>
      <c r="L549" t="s">
        <v>1290</v>
      </c>
      <c r="M549" t="s">
        <v>1290</v>
      </c>
      <c r="N549" t="s">
        <v>1291</v>
      </c>
      <c r="S549" t="s">
        <v>1464</v>
      </c>
      <c r="T549" t="str">
        <f>CONCATENATE(Table1[[#This Row],[Name]]," ",Table1[[#This Row],[Surname/Studio Name/Artistic Name]])</f>
        <v>Robin Rhode</v>
      </c>
    </row>
    <row r="550" spans="1:20" x14ac:dyDescent="0.35">
      <c r="A550">
        <v>549</v>
      </c>
      <c r="B550" t="s">
        <v>1034</v>
      </c>
      <c r="C550" t="s">
        <v>1035</v>
      </c>
      <c r="D550" t="s">
        <v>300</v>
      </c>
      <c r="E550" t="s">
        <v>1916</v>
      </c>
      <c r="F550" t="s">
        <v>20</v>
      </c>
      <c r="G550" t="s">
        <v>1916</v>
      </c>
      <c r="H550" t="s">
        <v>26</v>
      </c>
      <c r="J550">
        <v>1980</v>
      </c>
      <c r="K550">
        <f>2026-Table1[[#This Row],[Birthyear]]</f>
        <v>46</v>
      </c>
      <c r="L550" t="s">
        <v>1900</v>
      </c>
      <c r="M550" t="s">
        <v>1300</v>
      </c>
      <c r="N550" t="s">
        <v>1296</v>
      </c>
      <c r="O550" t="s">
        <v>1768</v>
      </c>
      <c r="P550">
        <v>2022</v>
      </c>
      <c r="Q550" t="s">
        <v>1334</v>
      </c>
      <c r="R550" t="s">
        <v>1769</v>
      </c>
      <c r="T550" t="str">
        <f>CONCATENATE(Table1[[#This Row],[Name]]," ",Table1[[#This Row],[Surname/Studio Name/Artistic Name]])</f>
        <v>Bruno Ribeiro</v>
      </c>
    </row>
    <row r="551" spans="1:20" x14ac:dyDescent="0.35">
      <c r="A551">
        <v>550</v>
      </c>
      <c r="B551" t="s">
        <v>1036</v>
      </c>
      <c r="C551" t="s">
        <v>749</v>
      </c>
      <c r="D551" t="s">
        <v>1901</v>
      </c>
      <c r="E551" t="s">
        <v>1916</v>
      </c>
      <c r="F551" t="s">
        <v>20</v>
      </c>
      <c r="G551" t="s">
        <v>1916</v>
      </c>
      <c r="H551" t="s">
        <v>21</v>
      </c>
      <c r="J551">
        <v>1985</v>
      </c>
      <c r="K551">
        <f>2026-Table1[[#This Row],[Birthyear]]</f>
        <v>41</v>
      </c>
      <c r="L551" t="s">
        <v>1900</v>
      </c>
      <c r="M551" t="s">
        <v>1322</v>
      </c>
      <c r="N551" t="s">
        <v>1296</v>
      </c>
      <c r="O551" t="s">
        <v>1770</v>
      </c>
      <c r="P551">
        <v>2023</v>
      </c>
      <c r="Q551" t="s">
        <v>1319</v>
      </c>
      <c r="R551" t="s">
        <v>1382</v>
      </c>
      <c r="T551" t="str">
        <f>CONCATENATE(Table1[[#This Row],[Name]]," ",Table1[[#This Row],[Surname/Studio Name/Artistic Name]])</f>
        <v>Anna Ridler</v>
      </c>
    </row>
    <row r="552" spans="1:20" x14ac:dyDescent="0.35">
      <c r="A552">
        <v>551</v>
      </c>
      <c r="B552" t="s">
        <v>1037</v>
      </c>
      <c r="C552" t="s">
        <v>210</v>
      </c>
      <c r="D552" t="s">
        <v>209</v>
      </c>
      <c r="E552" t="s">
        <v>1916</v>
      </c>
      <c r="F552" t="s">
        <v>20</v>
      </c>
      <c r="G552" t="s">
        <v>1916</v>
      </c>
      <c r="H552" t="s">
        <v>26</v>
      </c>
      <c r="J552">
        <v>1964</v>
      </c>
      <c r="K552">
        <f>2026-Table1[[#This Row],[Birthyear]]</f>
        <v>62</v>
      </c>
      <c r="L552" t="s">
        <v>1900</v>
      </c>
      <c r="M552" t="s">
        <v>1322</v>
      </c>
      <c r="N552" t="s">
        <v>1296</v>
      </c>
      <c r="O552" t="s">
        <v>1771</v>
      </c>
      <c r="P552">
        <v>2024</v>
      </c>
      <c r="Q552" t="s">
        <v>1350</v>
      </c>
      <c r="R552" t="s">
        <v>1299</v>
      </c>
      <c r="T552" t="str">
        <f>CONCATENATE(Table1[[#This Row],[Name]]," ",Table1[[#This Row],[Surname/Studio Name/Artistic Name]])</f>
        <v>Javier Riera</v>
      </c>
    </row>
    <row r="553" spans="1:20" x14ac:dyDescent="0.35">
      <c r="A553">
        <v>552</v>
      </c>
      <c r="B553" t="s">
        <v>1038</v>
      </c>
      <c r="C553" t="s">
        <v>331</v>
      </c>
      <c r="D553" t="s">
        <v>211</v>
      </c>
      <c r="E553" t="s">
        <v>1916</v>
      </c>
      <c r="F553" t="s">
        <v>20</v>
      </c>
      <c r="G553" t="s">
        <v>1916</v>
      </c>
      <c r="H553" t="s">
        <v>26</v>
      </c>
      <c r="J553">
        <v>1973</v>
      </c>
      <c r="K553">
        <f>2026-Table1[[#This Row],[Birthyear]]</f>
        <v>53</v>
      </c>
      <c r="L553" t="s">
        <v>1290</v>
      </c>
      <c r="M553" t="s">
        <v>1290</v>
      </c>
      <c r="N553" t="s">
        <v>1291</v>
      </c>
      <c r="S553" t="s">
        <v>1452</v>
      </c>
      <c r="T553" t="str">
        <f>CONCATENATE(Table1[[#This Row],[Name]]," ",Table1[[#This Row],[Surname/Studio Name/Artistic Name]])</f>
        <v>Stefan Rinck</v>
      </c>
    </row>
    <row r="554" spans="1:20" x14ac:dyDescent="0.35">
      <c r="A554">
        <v>553</v>
      </c>
      <c r="B554" t="s">
        <v>1039</v>
      </c>
      <c r="C554" t="s">
        <v>1040</v>
      </c>
      <c r="D554" t="s">
        <v>209</v>
      </c>
      <c r="E554" t="s">
        <v>1916</v>
      </c>
      <c r="F554" t="s">
        <v>20</v>
      </c>
      <c r="G554" t="s">
        <v>1916</v>
      </c>
      <c r="H554" t="s">
        <v>26</v>
      </c>
      <c r="J554">
        <v>1988</v>
      </c>
      <c r="K554">
        <f>2026-Table1[[#This Row],[Birthyear]]</f>
        <v>38</v>
      </c>
      <c r="L554" t="s">
        <v>1900</v>
      </c>
      <c r="M554" t="s">
        <v>1300</v>
      </c>
      <c r="N554" t="s">
        <v>1296</v>
      </c>
      <c r="O554" t="s">
        <v>1772</v>
      </c>
      <c r="P554">
        <v>2022</v>
      </c>
      <c r="Q554" t="s">
        <v>1319</v>
      </c>
      <c r="R554" t="s">
        <v>1312</v>
      </c>
      <c r="T554" t="str">
        <f>CONCATENATE(Table1[[#This Row],[Name]]," ",Table1[[#This Row],[Surname/Studio Name/Artistic Name]])</f>
        <v>Filip Roca</v>
      </c>
    </row>
    <row r="555" spans="1:20" x14ac:dyDescent="0.35">
      <c r="A555">
        <v>554</v>
      </c>
      <c r="B555" t="s">
        <v>1041</v>
      </c>
      <c r="C555" t="s">
        <v>1042</v>
      </c>
      <c r="D555" t="s">
        <v>245</v>
      </c>
      <c r="E555" t="s">
        <v>1916</v>
      </c>
      <c r="F555" t="s">
        <v>20</v>
      </c>
      <c r="G555" t="s">
        <v>1916</v>
      </c>
      <c r="H555" t="s">
        <v>26</v>
      </c>
      <c r="I555" t="s">
        <v>22</v>
      </c>
      <c r="J555">
        <v>1981</v>
      </c>
      <c r="K555">
        <f>2026-Table1[[#This Row],[Birthyear]]</f>
        <v>45</v>
      </c>
      <c r="L555" t="s">
        <v>1290</v>
      </c>
      <c r="M555" t="s">
        <v>1290</v>
      </c>
      <c r="N555" t="s">
        <v>1291</v>
      </c>
      <c r="S555" t="s">
        <v>1565</v>
      </c>
      <c r="T555" t="str">
        <f>CONCATENATE(Table1[[#This Row],[Name]]," ",Table1[[#This Row],[Surname/Studio Name/Artistic Name]])</f>
        <v>Mareo Rodriguez</v>
      </c>
    </row>
    <row r="556" spans="1:20" x14ac:dyDescent="0.35">
      <c r="A556">
        <v>555</v>
      </c>
      <c r="B556" t="s">
        <v>1043</v>
      </c>
      <c r="C556" t="s">
        <v>272</v>
      </c>
      <c r="D556" t="s">
        <v>209</v>
      </c>
      <c r="E556" t="s">
        <v>1916</v>
      </c>
      <c r="F556" t="s">
        <v>20</v>
      </c>
      <c r="G556" t="s">
        <v>1916</v>
      </c>
      <c r="H556" t="s">
        <v>26</v>
      </c>
      <c r="J556">
        <v>1970</v>
      </c>
      <c r="K556">
        <f>2026-Table1[[#This Row],[Birthyear]]</f>
        <v>56</v>
      </c>
      <c r="L556" t="s">
        <v>1315</v>
      </c>
      <c r="M556" t="s">
        <v>1315</v>
      </c>
      <c r="N556" t="s">
        <v>1327</v>
      </c>
      <c r="S556" t="s">
        <v>1316</v>
      </c>
      <c r="T556" t="str">
        <f>CONCATENATE(Table1[[#This Row],[Name]]," ",Table1[[#This Row],[Surname/Studio Name/Artistic Name]])</f>
        <v>David Rodriguez Caballero</v>
      </c>
    </row>
    <row r="557" spans="1:20" x14ac:dyDescent="0.35">
      <c r="A557">
        <v>556</v>
      </c>
      <c r="B557" t="s">
        <v>1044</v>
      </c>
      <c r="C557" t="s">
        <v>1045</v>
      </c>
      <c r="D557" t="s">
        <v>245</v>
      </c>
      <c r="E557" t="s">
        <v>1916</v>
      </c>
      <c r="F557" t="s">
        <v>20</v>
      </c>
      <c r="G557" t="s">
        <v>1916</v>
      </c>
      <c r="H557" t="s">
        <v>26</v>
      </c>
      <c r="J557">
        <v>1978</v>
      </c>
      <c r="K557">
        <f>2026-Table1[[#This Row],[Birthyear]]</f>
        <v>48</v>
      </c>
      <c r="L557" t="s">
        <v>1315</v>
      </c>
      <c r="M557" t="s">
        <v>1315</v>
      </c>
      <c r="N557" t="s">
        <v>1327</v>
      </c>
      <c r="S557" t="s">
        <v>1336</v>
      </c>
      <c r="T557" t="str">
        <f>CONCATENATE(Table1[[#This Row],[Name]]," ",Table1[[#This Row],[Surname/Studio Name/Artistic Name]])</f>
        <v>Oscar Omar Rodriguez Graham</v>
      </c>
    </row>
    <row r="558" spans="1:20" x14ac:dyDescent="0.35">
      <c r="A558">
        <v>557</v>
      </c>
      <c r="B558" t="s">
        <v>1046</v>
      </c>
      <c r="C558" t="s">
        <v>1047</v>
      </c>
      <c r="D558" t="s">
        <v>366</v>
      </c>
      <c r="E558" t="s">
        <v>1916</v>
      </c>
      <c r="F558" t="s">
        <v>25</v>
      </c>
      <c r="G558" t="s">
        <v>1916</v>
      </c>
      <c r="H558" t="s">
        <v>26</v>
      </c>
      <c r="J558">
        <v>1947</v>
      </c>
      <c r="K558">
        <f>2026-Table1[[#This Row],[Birthyear]]</f>
        <v>79</v>
      </c>
      <c r="L558" t="s">
        <v>1910</v>
      </c>
      <c r="M558" t="s">
        <v>1406</v>
      </c>
      <c r="N558" t="s">
        <v>1294</v>
      </c>
      <c r="T558" t="str">
        <f>CONCATENATE(Table1[[#This Row],[Name]]," ",Table1[[#This Row],[Surname/Studio Name/Artistic Name]])</f>
        <v>Andrew Rogers</v>
      </c>
    </row>
    <row r="559" spans="1:20" x14ac:dyDescent="0.35">
      <c r="A559">
        <v>558</v>
      </c>
      <c r="B559" t="s">
        <v>1048</v>
      </c>
      <c r="C559" t="s">
        <v>1049</v>
      </c>
      <c r="D559" t="s">
        <v>47</v>
      </c>
      <c r="E559" t="s">
        <v>1916</v>
      </c>
      <c r="F559" t="s">
        <v>20</v>
      </c>
      <c r="G559" t="s">
        <v>1916</v>
      </c>
      <c r="H559" t="s">
        <v>26</v>
      </c>
      <c r="I559" t="s">
        <v>22</v>
      </c>
      <c r="J559">
        <v>1986</v>
      </c>
      <c r="K559">
        <f>2026-Table1[[#This Row],[Birthyear]]</f>
        <v>40</v>
      </c>
      <c r="L559" t="s">
        <v>1410</v>
      </c>
      <c r="M559" t="s">
        <v>1410</v>
      </c>
      <c r="N559" t="s">
        <v>1291</v>
      </c>
      <c r="S559" t="s">
        <v>1773</v>
      </c>
      <c r="T559" t="str">
        <f>CONCATENATE(Table1[[#This Row],[Name]]," ",Table1[[#This Row],[Surname/Studio Name/Artistic Name]])</f>
        <v>Martin Romeo</v>
      </c>
    </row>
    <row r="560" spans="1:20" x14ac:dyDescent="0.35">
      <c r="A560">
        <v>559</v>
      </c>
      <c r="B560" t="s">
        <v>1050</v>
      </c>
      <c r="C560" t="s">
        <v>499</v>
      </c>
      <c r="D560" t="s">
        <v>29</v>
      </c>
      <c r="E560" t="s">
        <v>1916</v>
      </c>
      <c r="F560" t="s">
        <v>20</v>
      </c>
      <c r="G560" t="s">
        <v>1916</v>
      </c>
      <c r="H560" t="s">
        <v>26</v>
      </c>
      <c r="J560">
        <v>1995</v>
      </c>
      <c r="K560">
        <f>2026-Table1[[#This Row],[Birthyear]]</f>
        <v>31</v>
      </c>
      <c r="L560" t="s">
        <v>1900</v>
      </c>
      <c r="M560" t="s">
        <v>1317</v>
      </c>
      <c r="N560" t="s">
        <v>1296</v>
      </c>
      <c r="O560" t="s">
        <v>1774</v>
      </c>
      <c r="P560">
        <v>2023</v>
      </c>
      <c r="Q560" t="s">
        <v>1302</v>
      </c>
      <c r="R560" t="s">
        <v>1382</v>
      </c>
      <c r="S560" t="s">
        <v>1341</v>
      </c>
      <c r="T560" t="str">
        <f>CONCATENATE(Table1[[#This Row],[Name]]," ",Table1[[#This Row],[Surname/Studio Name/Artistic Name]])</f>
        <v>Ibrahim Romman​</v>
      </c>
    </row>
    <row r="561" spans="1:20" x14ac:dyDescent="0.35">
      <c r="A561">
        <v>560</v>
      </c>
      <c r="B561" t="s">
        <v>1051</v>
      </c>
      <c r="C561" t="s">
        <v>1052</v>
      </c>
      <c r="D561" t="s">
        <v>417</v>
      </c>
      <c r="E561" t="s">
        <v>1916</v>
      </c>
      <c r="F561" t="s">
        <v>20</v>
      </c>
      <c r="G561" t="s">
        <v>1916</v>
      </c>
      <c r="H561" t="s">
        <v>26</v>
      </c>
      <c r="I561" t="s">
        <v>22</v>
      </c>
      <c r="J561">
        <v>1964</v>
      </c>
      <c r="K561">
        <f>2026-Table1[[#This Row],[Birthyear]]</f>
        <v>62</v>
      </c>
      <c r="L561" t="s">
        <v>1588</v>
      </c>
      <c r="M561" t="s">
        <v>1588</v>
      </c>
      <c r="N561" t="s">
        <v>1296</v>
      </c>
      <c r="O561" t="s">
        <v>1775</v>
      </c>
      <c r="P561">
        <v>2022</v>
      </c>
      <c r="Q561" t="s">
        <v>1344</v>
      </c>
      <c r="R561" t="s">
        <v>1776</v>
      </c>
      <c r="S561" t="s">
        <v>1777</v>
      </c>
      <c r="T561" t="str">
        <f>CONCATENATE(Table1[[#This Row],[Name]]," ",Table1[[#This Row],[Surname/Studio Name/Artistic Name]])</f>
        <v>Ugo Rondinone</v>
      </c>
    </row>
    <row r="562" spans="1:20" x14ac:dyDescent="0.35">
      <c r="A562">
        <v>561</v>
      </c>
      <c r="B562" t="s">
        <v>1053</v>
      </c>
      <c r="C562" t="s">
        <v>1054</v>
      </c>
      <c r="D562" t="s">
        <v>383</v>
      </c>
      <c r="E562" t="s">
        <v>1916</v>
      </c>
      <c r="F562" t="s">
        <v>20</v>
      </c>
      <c r="G562" t="s">
        <v>1916</v>
      </c>
      <c r="H562" t="s">
        <v>21</v>
      </c>
      <c r="J562">
        <v>1982</v>
      </c>
      <c r="K562">
        <f>2026-Table1[[#This Row],[Birthyear]]</f>
        <v>44</v>
      </c>
      <c r="L562" t="s">
        <v>1290</v>
      </c>
      <c r="M562" t="s">
        <v>1290</v>
      </c>
      <c r="N562" t="s">
        <v>1291</v>
      </c>
      <c r="S562" t="s">
        <v>1535</v>
      </c>
      <c r="T562" t="str">
        <f>CONCATENATE(Table1[[#This Row],[Name]]," ",Table1[[#This Row],[Surname/Studio Name/Artistic Name]])</f>
        <v>Bi Rongrong</v>
      </c>
    </row>
    <row r="563" spans="1:20" x14ac:dyDescent="0.35">
      <c r="A563">
        <v>562</v>
      </c>
      <c r="B563" t="s">
        <v>1055</v>
      </c>
      <c r="C563" t="s">
        <v>1056</v>
      </c>
      <c r="D563" t="s">
        <v>1904</v>
      </c>
      <c r="E563" t="s">
        <v>1916</v>
      </c>
      <c r="F563" t="s">
        <v>25</v>
      </c>
      <c r="G563" t="s">
        <v>1916</v>
      </c>
      <c r="H563" t="s">
        <v>26</v>
      </c>
      <c r="J563">
        <v>1979</v>
      </c>
      <c r="K563">
        <f>2026-Table1[[#This Row],[Birthyear]]</f>
        <v>47</v>
      </c>
      <c r="L563" t="s">
        <v>1293</v>
      </c>
      <c r="M563" t="s">
        <v>1293</v>
      </c>
      <c r="N563" t="s">
        <v>1294</v>
      </c>
      <c r="T563" t="str">
        <f>CONCATENATE(Table1[[#This Row],[Name]]," ",Table1[[#This Row],[Surname/Studio Name/Artistic Name]])</f>
        <v>Daan Roosegaarde</v>
      </c>
    </row>
    <row r="564" spans="1:20" x14ac:dyDescent="0.35">
      <c r="A564">
        <v>563</v>
      </c>
      <c r="B564" t="s">
        <v>1057</v>
      </c>
      <c r="C564" t="s">
        <v>368</v>
      </c>
      <c r="D564" t="s">
        <v>211</v>
      </c>
      <c r="E564" t="s">
        <v>1916</v>
      </c>
      <c r="F564" t="s">
        <v>20</v>
      </c>
      <c r="G564" t="s">
        <v>1916</v>
      </c>
      <c r="H564" t="s">
        <v>26</v>
      </c>
      <c r="J564">
        <v>1989</v>
      </c>
      <c r="K564">
        <f>2026-Table1[[#This Row],[Birthyear]]</f>
        <v>37</v>
      </c>
      <c r="L564" t="s">
        <v>1900</v>
      </c>
      <c r="M564" t="s">
        <v>1300</v>
      </c>
      <c r="N564" t="s">
        <v>1296</v>
      </c>
      <c r="O564" t="s">
        <v>1778</v>
      </c>
      <c r="Q564" t="s">
        <v>1779</v>
      </c>
      <c r="T564" t="str">
        <f>CONCATENATE(Table1[[#This Row],[Name]]," ",Table1[[#This Row],[Surname/Studio Name/Artistic Name]])</f>
        <v>Manuel Rossner</v>
      </c>
    </row>
    <row r="565" spans="1:20" x14ac:dyDescent="0.35">
      <c r="A565">
        <v>564</v>
      </c>
      <c r="B565" t="s">
        <v>1058</v>
      </c>
      <c r="C565" t="s">
        <v>1059</v>
      </c>
      <c r="D565" t="s">
        <v>300</v>
      </c>
      <c r="E565" t="s">
        <v>1916</v>
      </c>
      <c r="F565" t="s">
        <v>20</v>
      </c>
      <c r="G565" t="s">
        <v>1916</v>
      </c>
      <c r="H565" t="s">
        <v>26</v>
      </c>
      <c r="J565">
        <v>1984</v>
      </c>
      <c r="K565">
        <f>2026-Table1[[#This Row],[Birthyear]]</f>
        <v>42</v>
      </c>
      <c r="L565" t="s">
        <v>1900</v>
      </c>
      <c r="M565" t="s">
        <v>1317</v>
      </c>
      <c r="N565" t="s">
        <v>1296</v>
      </c>
      <c r="O565" t="s">
        <v>1780</v>
      </c>
      <c r="P565">
        <v>2023</v>
      </c>
      <c r="Q565" t="s">
        <v>1350</v>
      </c>
      <c r="R565" t="s">
        <v>1781</v>
      </c>
      <c r="S565" t="s">
        <v>1341</v>
      </c>
      <c r="T565" t="str">
        <f>CONCATENATE(Table1[[#This Row],[Name]]," ",Table1[[#This Row],[Surname/Studio Name/Artistic Name]])</f>
        <v>Gauthier Roumagne​</v>
      </c>
    </row>
    <row r="566" spans="1:20" x14ac:dyDescent="0.35">
      <c r="A566">
        <v>565</v>
      </c>
      <c r="B566" t="s">
        <v>1060</v>
      </c>
      <c r="C566" t="s">
        <v>1061</v>
      </c>
      <c r="D566" t="s">
        <v>1904</v>
      </c>
      <c r="E566" t="s">
        <v>1916</v>
      </c>
      <c r="F566" t="s">
        <v>20</v>
      </c>
      <c r="G566" t="s">
        <v>1916</v>
      </c>
      <c r="H566" t="s">
        <v>26</v>
      </c>
      <c r="J566">
        <v>1980</v>
      </c>
      <c r="K566">
        <f>2026-Table1[[#This Row],[Birthyear]]</f>
        <v>46</v>
      </c>
      <c r="L566" t="s">
        <v>1900</v>
      </c>
      <c r="M566" t="s">
        <v>1317</v>
      </c>
      <c r="N566" t="s">
        <v>1296</v>
      </c>
      <c r="O566" t="s">
        <v>1782</v>
      </c>
      <c r="P566">
        <v>2023</v>
      </c>
      <c r="Q566" t="s">
        <v>1350</v>
      </c>
      <c r="R566" t="s">
        <v>1312</v>
      </c>
      <c r="S566" t="s">
        <v>1341</v>
      </c>
      <c r="T566" t="str">
        <f>CONCATENATE(Table1[[#This Row],[Name]]," ",Table1[[#This Row],[Surname/Studio Name/Artistic Name]])</f>
        <v>Rafaël Rozendaal​</v>
      </c>
    </row>
    <row r="567" spans="1:20" x14ac:dyDescent="0.35">
      <c r="A567">
        <v>566</v>
      </c>
      <c r="B567" t="s">
        <v>1062</v>
      </c>
      <c r="C567" t="s">
        <v>1063</v>
      </c>
      <c r="D567" t="s">
        <v>1891</v>
      </c>
      <c r="E567" t="s">
        <v>1916</v>
      </c>
      <c r="F567" t="s">
        <v>20</v>
      </c>
      <c r="G567" t="s">
        <v>1916</v>
      </c>
      <c r="H567" t="s">
        <v>21</v>
      </c>
      <c r="J567">
        <v>1952</v>
      </c>
      <c r="K567">
        <f>2026-Table1[[#This Row],[Birthyear]]</f>
        <v>74</v>
      </c>
      <c r="L567" t="s">
        <v>1290</v>
      </c>
      <c r="M567" t="s">
        <v>1290</v>
      </c>
      <c r="N567" t="s">
        <v>1291</v>
      </c>
      <c r="S567" t="s">
        <v>1783</v>
      </c>
      <c r="T567" t="str">
        <f>CONCATENATE(Table1[[#This Row],[Name]]," ",Table1[[#This Row],[Surname/Studio Name/Artistic Name]])</f>
        <v>Nancy Rubins</v>
      </c>
    </row>
    <row r="568" spans="1:20" x14ac:dyDescent="0.35">
      <c r="A568">
        <v>567</v>
      </c>
      <c r="B568" t="s">
        <v>1064</v>
      </c>
      <c r="C568" t="s">
        <v>1065</v>
      </c>
      <c r="D568" t="s">
        <v>1891</v>
      </c>
      <c r="E568" t="s">
        <v>1916</v>
      </c>
      <c r="F568" t="s">
        <v>20</v>
      </c>
      <c r="G568" t="s">
        <v>1916</v>
      </c>
      <c r="H568" t="s">
        <v>26</v>
      </c>
      <c r="J568">
        <v>1972</v>
      </c>
      <c r="K568">
        <f>2026-Table1[[#This Row],[Birthyear]]</f>
        <v>54</v>
      </c>
      <c r="L568" t="s">
        <v>1290</v>
      </c>
      <c r="M568" t="s">
        <v>1290</v>
      </c>
      <c r="N568" t="s">
        <v>1291</v>
      </c>
      <c r="S568" t="s">
        <v>1532</v>
      </c>
      <c r="T568" t="str">
        <f>CONCATENATE(Table1[[#This Row],[Name]]," ",Table1[[#This Row],[Surname/Studio Name/Artistic Name]])</f>
        <v>Sterling Ruby</v>
      </c>
    </row>
    <row r="569" spans="1:20" x14ac:dyDescent="0.35">
      <c r="A569">
        <v>568</v>
      </c>
      <c r="B569" t="s">
        <v>1066</v>
      </c>
      <c r="C569" t="s">
        <v>787</v>
      </c>
      <c r="D569" t="s">
        <v>1904</v>
      </c>
      <c r="E569" t="s">
        <v>1916</v>
      </c>
      <c r="F569" t="s">
        <v>20</v>
      </c>
      <c r="G569" t="s">
        <v>1916</v>
      </c>
      <c r="H569" t="s">
        <v>26</v>
      </c>
      <c r="J569">
        <v>1988</v>
      </c>
      <c r="K569">
        <f>2026-Table1[[#This Row],[Birthyear]]</f>
        <v>38</v>
      </c>
      <c r="L569" t="s">
        <v>1900</v>
      </c>
      <c r="M569" t="s">
        <v>1322</v>
      </c>
      <c r="N569" t="s">
        <v>1296</v>
      </c>
      <c r="O569" t="s">
        <v>1784</v>
      </c>
      <c r="P569">
        <v>2024</v>
      </c>
      <c r="Q569" t="s">
        <v>1785</v>
      </c>
      <c r="R569" t="s">
        <v>1312</v>
      </c>
      <c r="T569" t="str">
        <f>CONCATENATE(Table1[[#This Row],[Name]]," ",Table1[[#This Row],[Surname/Studio Name/Artistic Name]])</f>
        <v>Vincent Ruijters</v>
      </c>
    </row>
    <row r="570" spans="1:20" x14ac:dyDescent="0.35">
      <c r="A570">
        <v>569</v>
      </c>
      <c r="B570" t="s">
        <v>1067</v>
      </c>
      <c r="C570" t="s">
        <v>1068</v>
      </c>
      <c r="D570" t="s">
        <v>216</v>
      </c>
      <c r="E570" t="s">
        <v>1916</v>
      </c>
      <c r="F570" t="s">
        <v>20</v>
      </c>
      <c r="G570" t="s">
        <v>1916</v>
      </c>
      <c r="H570" t="s">
        <v>26</v>
      </c>
      <c r="J570">
        <v>1955</v>
      </c>
      <c r="K570">
        <f>2026-Table1[[#This Row],[Birthyear]]</f>
        <v>71</v>
      </c>
      <c r="L570" t="s">
        <v>1914</v>
      </c>
      <c r="M570" t="s">
        <v>1326</v>
      </c>
      <c r="N570" t="s">
        <v>1296</v>
      </c>
      <c r="O570" t="s">
        <v>1786</v>
      </c>
      <c r="P570">
        <v>2023</v>
      </c>
      <c r="Q570" t="s">
        <v>1344</v>
      </c>
      <c r="R570" t="s">
        <v>1299</v>
      </c>
      <c r="T570" t="str">
        <f>CONCATENATE(Table1[[#This Row],[Name]]," ",Table1[[#This Row],[Surname/Studio Name/Artistic Name]])</f>
        <v>Tatsumi Sakai</v>
      </c>
    </row>
    <row r="571" spans="1:20" x14ac:dyDescent="0.35">
      <c r="A571">
        <v>570</v>
      </c>
      <c r="B571" t="s">
        <v>1069</v>
      </c>
      <c r="C571" t="s">
        <v>1070</v>
      </c>
      <c r="D571" t="s">
        <v>29</v>
      </c>
      <c r="E571" t="s">
        <v>1916</v>
      </c>
      <c r="F571" t="s">
        <v>20</v>
      </c>
      <c r="G571" t="s">
        <v>1916</v>
      </c>
      <c r="H571" t="s">
        <v>21</v>
      </c>
      <c r="J571">
        <v>2002</v>
      </c>
      <c r="K571">
        <f>2026-Table1[[#This Row],[Birthyear]]</f>
        <v>24</v>
      </c>
      <c r="L571" t="s">
        <v>1900</v>
      </c>
      <c r="M571" t="s">
        <v>1322</v>
      </c>
      <c r="N571" t="s">
        <v>1296</v>
      </c>
      <c r="O571" t="s">
        <v>1787</v>
      </c>
      <c r="P571">
        <v>2024</v>
      </c>
      <c r="Q571" t="s">
        <v>1302</v>
      </c>
      <c r="R571" t="s">
        <v>1382</v>
      </c>
      <c r="T571" t="str">
        <f>CONCATENATE(Table1[[#This Row],[Name]]," ",Table1[[#This Row],[Surname/Studio Name/Artistic Name]])</f>
        <v>Ebtesam Saleh</v>
      </c>
    </row>
    <row r="572" spans="1:20" x14ac:dyDescent="0.35">
      <c r="A572">
        <v>571</v>
      </c>
      <c r="B572" t="s">
        <v>1071</v>
      </c>
      <c r="C572" t="s">
        <v>477</v>
      </c>
      <c r="D572" t="s">
        <v>1891</v>
      </c>
      <c r="E572" t="s">
        <v>1916</v>
      </c>
      <c r="F572" t="s">
        <v>20</v>
      </c>
      <c r="G572" t="s">
        <v>1916</v>
      </c>
      <c r="H572" t="s">
        <v>26</v>
      </c>
      <c r="J572">
        <v>1953</v>
      </c>
      <c r="K572">
        <f>2026-Table1[[#This Row],[Birthyear]]</f>
        <v>73</v>
      </c>
      <c r="L572" t="s">
        <v>1900</v>
      </c>
      <c r="M572" t="s">
        <v>1317</v>
      </c>
      <c r="N572" t="s">
        <v>1296</v>
      </c>
      <c r="O572" t="s">
        <v>1788</v>
      </c>
      <c r="P572">
        <v>2023</v>
      </c>
      <c r="Q572" t="s">
        <v>1319</v>
      </c>
      <c r="R572" t="s">
        <v>1355</v>
      </c>
      <c r="S572" t="s">
        <v>1341</v>
      </c>
      <c r="T572" t="str">
        <f>CONCATENATE(Table1[[#This Row],[Name]]," ",Table1[[#This Row],[Surname/Studio Name/Artistic Name]])</f>
        <v>Sam Samore​</v>
      </c>
    </row>
    <row r="573" spans="1:20" x14ac:dyDescent="0.35">
      <c r="A573">
        <v>572</v>
      </c>
      <c r="B573" t="s">
        <v>1072</v>
      </c>
      <c r="C573" t="s">
        <v>917</v>
      </c>
      <c r="D573" t="s">
        <v>1901</v>
      </c>
      <c r="E573" t="s">
        <v>1916</v>
      </c>
      <c r="F573" t="s">
        <v>20</v>
      </c>
      <c r="G573" t="s">
        <v>1916</v>
      </c>
      <c r="H573" t="s">
        <v>26</v>
      </c>
      <c r="J573">
        <v>1969</v>
      </c>
      <c r="K573">
        <f>2026-Table1[[#This Row],[Birthyear]]</f>
        <v>57</v>
      </c>
      <c r="L573" t="s">
        <v>1900</v>
      </c>
      <c r="M573" t="s">
        <v>1300</v>
      </c>
      <c r="N573" t="s">
        <v>1296</v>
      </c>
      <c r="O573" t="s">
        <v>1789</v>
      </c>
      <c r="P573">
        <v>2022</v>
      </c>
      <c r="Q573" t="s">
        <v>1350</v>
      </c>
      <c r="R573" t="s">
        <v>1675</v>
      </c>
      <c r="T573" t="str">
        <f>CONCATENATE(Table1[[#This Row],[Name]]," ",Table1[[#This Row],[Surname/Studio Name/Artistic Name]])</f>
        <v>Charles Sandison</v>
      </c>
    </row>
    <row r="574" spans="1:20" x14ac:dyDescent="0.35">
      <c r="A574">
        <v>573</v>
      </c>
      <c r="B574" t="s">
        <v>1073</v>
      </c>
      <c r="C574" t="s">
        <v>1074</v>
      </c>
      <c r="D574" t="s">
        <v>600</v>
      </c>
      <c r="E574" t="s">
        <v>1916</v>
      </c>
      <c r="F574" t="s">
        <v>20</v>
      </c>
      <c r="G574" t="s">
        <v>1916</v>
      </c>
      <c r="H574" t="s">
        <v>26</v>
      </c>
      <c r="J574">
        <v>1991</v>
      </c>
      <c r="K574">
        <f>2026-Table1[[#This Row],[Birthyear]]</f>
        <v>35</v>
      </c>
      <c r="L574" t="s">
        <v>1914</v>
      </c>
      <c r="M574" t="s">
        <v>1342</v>
      </c>
      <c r="N574" t="s">
        <v>1296</v>
      </c>
      <c r="O574" t="s">
        <v>1790</v>
      </c>
      <c r="P574">
        <v>2025</v>
      </c>
      <c r="Q574" t="s">
        <v>1344</v>
      </c>
      <c r="T574" t="str">
        <f>CONCATENATE(Table1[[#This Row],[Name]]," ",Table1[[#This Row],[Surname/Studio Name/Artistic Name]])</f>
        <v>Vankhade Sangam</v>
      </c>
    </row>
    <row r="575" spans="1:20" x14ac:dyDescent="0.35">
      <c r="A575">
        <v>574</v>
      </c>
      <c r="B575" t="s">
        <v>1075</v>
      </c>
      <c r="C575" t="s">
        <v>776</v>
      </c>
      <c r="D575" t="s">
        <v>1894</v>
      </c>
      <c r="E575" t="s">
        <v>1916</v>
      </c>
      <c r="F575" t="s">
        <v>20</v>
      </c>
      <c r="G575" t="s">
        <v>1916</v>
      </c>
      <c r="H575" t="s">
        <v>26</v>
      </c>
      <c r="I575" t="s">
        <v>22</v>
      </c>
      <c r="J575">
        <v>1983</v>
      </c>
      <c r="K575">
        <f>2026-Table1[[#This Row],[Birthyear]]</f>
        <v>43</v>
      </c>
      <c r="L575" t="s">
        <v>1315</v>
      </c>
      <c r="M575" t="s">
        <v>1315</v>
      </c>
      <c r="N575" t="s">
        <v>1291</v>
      </c>
      <c r="S575" t="s">
        <v>1511</v>
      </c>
      <c r="T575" t="str">
        <f>CONCATENATE(Table1[[#This Row],[Name]]," ",Table1[[#This Row],[Surname/Studio Name/Artistic Name]])</f>
        <v>Lee Sangsoo</v>
      </c>
    </row>
    <row r="576" spans="1:20" x14ac:dyDescent="0.35">
      <c r="A576">
        <v>575</v>
      </c>
      <c r="B576" t="s">
        <v>1076</v>
      </c>
      <c r="C576" t="s">
        <v>795</v>
      </c>
      <c r="D576" t="s">
        <v>209</v>
      </c>
      <c r="E576" t="s">
        <v>1916</v>
      </c>
      <c r="F576" t="s">
        <v>20</v>
      </c>
      <c r="G576" t="s">
        <v>1916</v>
      </c>
      <c r="H576" t="s">
        <v>26</v>
      </c>
      <c r="J576">
        <v>1978</v>
      </c>
      <c r="K576">
        <f>2026-Table1[[#This Row],[Birthyear]]</f>
        <v>48</v>
      </c>
      <c r="L576" t="s">
        <v>1315</v>
      </c>
      <c r="M576" t="s">
        <v>1315</v>
      </c>
      <c r="N576" t="s">
        <v>1291</v>
      </c>
      <c r="S576" t="s">
        <v>1336</v>
      </c>
      <c r="T576" t="str">
        <f>CONCATENATE(Table1[[#This Row],[Name]]," ",Table1[[#This Row],[Surname/Studio Name/Artistic Name]])</f>
        <v>Antonio Santin</v>
      </c>
    </row>
    <row r="577" spans="1:20" x14ac:dyDescent="0.35">
      <c r="A577">
        <v>576</v>
      </c>
      <c r="B577" t="s">
        <v>1077</v>
      </c>
      <c r="C577" t="s">
        <v>1078</v>
      </c>
      <c r="D577" t="s">
        <v>47</v>
      </c>
      <c r="E577" t="s">
        <v>1916</v>
      </c>
      <c r="F577" t="s">
        <v>20</v>
      </c>
      <c r="G577" t="s">
        <v>1916</v>
      </c>
      <c r="H577" t="s">
        <v>21</v>
      </c>
      <c r="J577">
        <v>1976</v>
      </c>
      <c r="K577">
        <f>2026-Table1[[#This Row],[Birthyear]]</f>
        <v>50</v>
      </c>
      <c r="L577" t="s">
        <v>1914</v>
      </c>
      <c r="M577" t="s">
        <v>1326</v>
      </c>
      <c r="N577" t="s">
        <v>1327</v>
      </c>
      <c r="T577" t="str">
        <f>CONCATENATE(Table1[[#This Row],[Name]]," ",Table1[[#This Row],[Surname/Studio Name/Artistic Name]])</f>
        <v>Elena Saracino</v>
      </c>
    </row>
    <row r="578" spans="1:20" x14ac:dyDescent="0.35">
      <c r="A578">
        <v>577</v>
      </c>
      <c r="B578" t="s">
        <v>1079</v>
      </c>
      <c r="C578" t="s">
        <v>842</v>
      </c>
      <c r="D578" t="s">
        <v>41</v>
      </c>
      <c r="E578" t="s">
        <v>1916</v>
      </c>
      <c r="F578" t="s">
        <v>20</v>
      </c>
      <c r="G578" t="s">
        <v>1916</v>
      </c>
      <c r="H578" t="s">
        <v>21</v>
      </c>
      <c r="J578">
        <v>1945</v>
      </c>
      <c r="K578">
        <f>2026-Table1[[#This Row],[Birthyear]]</f>
        <v>81</v>
      </c>
      <c r="L578" t="s">
        <v>1290</v>
      </c>
      <c r="M578" t="s">
        <v>1290</v>
      </c>
      <c r="N578" t="s">
        <v>1337</v>
      </c>
      <c r="S578" t="s">
        <v>1338</v>
      </c>
      <c r="T578" t="str">
        <f>CONCATENATE(Table1[[#This Row],[Name]]," ",Table1[[#This Row],[Surname/Studio Name/Artistic Name]])</f>
        <v>Mona Saudi</v>
      </c>
    </row>
    <row r="579" spans="1:20" x14ac:dyDescent="0.35">
      <c r="A579">
        <v>578</v>
      </c>
      <c r="B579" t="s">
        <v>1080</v>
      </c>
      <c r="C579" t="s">
        <v>1081</v>
      </c>
      <c r="D579" t="s">
        <v>366</v>
      </c>
      <c r="E579" t="s">
        <v>1916</v>
      </c>
      <c r="F579" t="s">
        <v>25</v>
      </c>
      <c r="G579" t="s">
        <v>1916</v>
      </c>
      <c r="H579" t="s">
        <v>21</v>
      </c>
      <c r="J579">
        <v>1964</v>
      </c>
      <c r="K579">
        <f>2026-Table1[[#This Row],[Birthyear]]</f>
        <v>62</v>
      </c>
      <c r="L579" t="s">
        <v>1293</v>
      </c>
      <c r="M579" t="s">
        <v>1293</v>
      </c>
      <c r="N579" t="s">
        <v>1294</v>
      </c>
      <c r="T579" t="str">
        <f>CONCATENATE(Table1[[#This Row],[Name]]," ",Table1[[#This Row],[Surname/Studio Name/Artistic Name]])</f>
        <v>Nike Savvas</v>
      </c>
    </row>
    <row r="580" spans="1:20" x14ac:dyDescent="0.35">
      <c r="A580">
        <v>579</v>
      </c>
      <c r="B580" t="s">
        <v>1082</v>
      </c>
      <c r="C580" t="s">
        <v>1083</v>
      </c>
      <c r="D580" t="s">
        <v>866</v>
      </c>
      <c r="E580" t="s">
        <v>1916</v>
      </c>
      <c r="F580" t="s">
        <v>20</v>
      </c>
      <c r="G580" t="s">
        <v>1916</v>
      </c>
      <c r="H580" t="s">
        <v>26</v>
      </c>
      <c r="J580">
        <v>1976</v>
      </c>
      <c r="K580">
        <f>2026-Table1[[#This Row],[Birthyear]]</f>
        <v>50</v>
      </c>
      <c r="L580" t="s">
        <v>1914</v>
      </c>
      <c r="M580" t="s">
        <v>1326</v>
      </c>
      <c r="N580" t="s">
        <v>1296</v>
      </c>
      <c r="O580" t="s">
        <v>1791</v>
      </c>
      <c r="P580">
        <v>2023</v>
      </c>
      <c r="Q580" t="s">
        <v>1344</v>
      </c>
      <c r="T580" t="str">
        <f>CONCATENATE(Table1[[#This Row],[Name]]," ",Table1[[#This Row],[Surname/Studio Name/Artistic Name]])</f>
        <v>Sasho Sazdovski</v>
      </c>
    </row>
    <row r="581" spans="1:20" x14ac:dyDescent="0.35">
      <c r="A581">
        <v>580</v>
      </c>
      <c r="B581" t="s">
        <v>1084</v>
      </c>
      <c r="D581" t="s">
        <v>1085</v>
      </c>
      <c r="E581" t="s">
        <v>1916</v>
      </c>
      <c r="F581" t="s">
        <v>20</v>
      </c>
      <c r="G581" t="s">
        <v>1916</v>
      </c>
      <c r="H581" t="s">
        <v>26</v>
      </c>
      <c r="J581">
        <v>1993</v>
      </c>
      <c r="K581">
        <f>2026-Table1[[#This Row],[Birthyear]]</f>
        <v>33</v>
      </c>
      <c r="L581" t="s">
        <v>1900</v>
      </c>
      <c r="M581" t="s">
        <v>1300</v>
      </c>
      <c r="N581" t="s">
        <v>1296</v>
      </c>
      <c r="O581" t="s">
        <v>1792</v>
      </c>
      <c r="P581">
        <v>2022</v>
      </c>
      <c r="Q581" t="s">
        <v>1302</v>
      </c>
      <c r="R581" t="s">
        <v>1793</v>
      </c>
      <c r="S581" t="s">
        <v>1304</v>
      </c>
      <c r="T581" t="str">
        <f>CONCATENATE(Table1[[#This Row],[Name]]," ",Table1[[#This Row],[Surname/Studio Name/Artistic Name]])</f>
        <v xml:space="preserve"> ScarlettMotiff (Noel Apitta)</v>
      </c>
    </row>
    <row r="582" spans="1:20" x14ac:dyDescent="0.35">
      <c r="A582">
        <v>581</v>
      </c>
      <c r="B582" t="s">
        <v>1086</v>
      </c>
      <c r="C582" t="s">
        <v>1052</v>
      </c>
      <c r="D582" t="s">
        <v>300</v>
      </c>
      <c r="E582" t="s">
        <v>1916</v>
      </c>
      <c r="F582" t="s">
        <v>20</v>
      </c>
      <c r="G582" t="s">
        <v>1916</v>
      </c>
      <c r="H582" t="s">
        <v>720</v>
      </c>
      <c r="I582" t="s">
        <v>22</v>
      </c>
      <c r="J582">
        <v>1987</v>
      </c>
      <c r="K582">
        <f>2026-Table1[[#This Row],[Birthyear]]</f>
        <v>39</v>
      </c>
      <c r="L582" t="s">
        <v>1290</v>
      </c>
      <c r="M582" t="s">
        <v>1290</v>
      </c>
      <c r="N582" t="s">
        <v>1296</v>
      </c>
      <c r="O582" t="s">
        <v>1794</v>
      </c>
      <c r="Q582" t="s">
        <v>1344</v>
      </c>
      <c r="R582" t="s">
        <v>1795</v>
      </c>
      <c r="S582" t="s">
        <v>1527</v>
      </c>
      <c r="T582" t="str">
        <f>CONCATENATE(Table1[[#This Row],[Name]]," ",Table1[[#This Row],[Surname/Studio Name/Artistic Name]])</f>
        <v>Ugo Schiavi</v>
      </c>
    </row>
    <row r="583" spans="1:20" x14ac:dyDescent="0.35">
      <c r="A583">
        <v>582</v>
      </c>
      <c r="B583" t="s">
        <v>1087</v>
      </c>
      <c r="C583" t="s">
        <v>613</v>
      </c>
      <c r="D583" t="s">
        <v>211</v>
      </c>
      <c r="E583" t="s">
        <v>1916</v>
      </c>
      <c r="F583" t="s">
        <v>20</v>
      </c>
      <c r="G583" t="s">
        <v>1916</v>
      </c>
      <c r="H583" t="s">
        <v>26</v>
      </c>
      <c r="J583">
        <v>1953</v>
      </c>
      <c r="K583">
        <f>2026-Table1[[#This Row],[Birthyear]]</f>
        <v>73</v>
      </c>
      <c r="L583" t="s">
        <v>1357</v>
      </c>
      <c r="M583" t="s">
        <v>1357</v>
      </c>
      <c r="N583" t="s">
        <v>1294</v>
      </c>
      <c r="S583" t="s">
        <v>1796</v>
      </c>
      <c r="T583" t="str">
        <f>CONCATENATE(Table1[[#This Row],[Name]]," ",Table1[[#This Row],[Surname/Studio Name/Artistic Name]])</f>
        <v>Thomas Schönauer</v>
      </c>
    </row>
    <row r="584" spans="1:20" x14ac:dyDescent="0.35">
      <c r="A584">
        <v>583</v>
      </c>
      <c r="B584" t="s">
        <v>1088</v>
      </c>
      <c r="C584" t="s">
        <v>1089</v>
      </c>
      <c r="D584" t="s">
        <v>257</v>
      </c>
      <c r="E584" t="s">
        <v>1916</v>
      </c>
      <c r="F584" t="s">
        <v>20</v>
      </c>
      <c r="G584" t="s">
        <v>1916</v>
      </c>
      <c r="H584" t="s">
        <v>21</v>
      </c>
      <c r="I584" t="s">
        <v>22</v>
      </c>
      <c r="J584">
        <v>1957</v>
      </c>
      <c r="K584">
        <f>2026-Table1[[#This Row],[Birthyear]]</f>
        <v>69</v>
      </c>
      <c r="L584" t="s">
        <v>1290</v>
      </c>
      <c r="M584" t="s">
        <v>1290</v>
      </c>
      <c r="N584" t="s">
        <v>1291</v>
      </c>
      <c r="S584" t="s">
        <v>1549</v>
      </c>
      <c r="T584" t="str">
        <f>CONCATENATE(Table1[[#This Row],[Name]]," ",Table1[[#This Row],[Surname/Studio Name/Artistic Name]])</f>
        <v>Hala Schoukair</v>
      </c>
    </row>
    <row r="585" spans="1:20" x14ac:dyDescent="0.35">
      <c r="A585">
        <v>584</v>
      </c>
      <c r="B585" t="s">
        <v>1090</v>
      </c>
      <c r="C585" t="s">
        <v>1091</v>
      </c>
      <c r="D585" t="s">
        <v>1891</v>
      </c>
      <c r="E585" t="s">
        <v>1916</v>
      </c>
      <c r="F585" t="s">
        <v>25</v>
      </c>
      <c r="G585" t="s">
        <v>1916</v>
      </c>
      <c r="H585" t="s">
        <v>21</v>
      </c>
      <c r="I585" t="s">
        <v>22</v>
      </c>
      <c r="J585">
        <v>1950</v>
      </c>
      <c r="K585">
        <f>2026-Table1[[#This Row],[Birthyear]]</f>
        <v>76</v>
      </c>
      <c r="L585" t="s">
        <v>1293</v>
      </c>
      <c r="M585" t="s">
        <v>1293</v>
      </c>
      <c r="N585" t="s">
        <v>1309</v>
      </c>
      <c r="T585" t="str">
        <f>CONCATENATE(Table1[[#This Row],[Name]]," ",Table1[[#This Row],[Surname/Studio Name/Artistic Name]])</f>
        <v>Martha Schwartz</v>
      </c>
    </row>
    <row r="586" spans="1:20" x14ac:dyDescent="0.35">
      <c r="A586">
        <v>585</v>
      </c>
      <c r="B586" t="s">
        <v>1092</v>
      </c>
      <c r="C586" t="s">
        <v>391</v>
      </c>
      <c r="D586" t="s">
        <v>1891</v>
      </c>
      <c r="E586" t="s">
        <v>1916</v>
      </c>
      <c r="F586" t="s">
        <v>20</v>
      </c>
      <c r="G586" t="s">
        <v>1916</v>
      </c>
      <c r="H586" t="s">
        <v>26</v>
      </c>
      <c r="J586">
        <v>1970</v>
      </c>
      <c r="K586">
        <f>2026-Table1[[#This Row],[Birthyear]]</f>
        <v>56</v>
      </c>
      <c r="L586" t="s">
        <v>1900</v>
      </c>
      <c r="M586" t="s">
        <v>1295</v>
      </c>
      <c r="N586" t="s">
        <v>1296</v>
      </c>
      <c r="O586" t="s">
        <v>1797</v>
      </c>
      <c r="P586">
        <v>2025</v>
      </c>
      <c r="Q586" t="s">
        <v>1298</v>
      </c>
      <c r="R586" t="s">
        <v>1299</v>
      </c>
      <c r="T586" t="str">
        <f>CONCATENATE(Table1[[#This Row],[Name]]," ",Table1[[#This Row],[Surname/Studio Name/Artistic Name]])</f>
        <v>Alex Schweder</v>
      </c>
    </row>
    <row r="587" spans="1:20" x14ac:dyDescent="0.35">
      <c r="A587">
        <v>586</v>
      </c>
      <c r="B587" t="s">
        <v>1093</v>
      </c>
      <c r="C587" t="s">
        <v>1094</v>
      </c>
      <c r="D587" t="s">
        <v>1901</v>
      </c>
      <c r="E587" t="s">
        <v>1916</v>
      </c>
      <c r="F587" t="s">
        <v>25</v>
      </c>
      <c r="G587" t="s">
        <v>1916</v>
      </c>
      <c r="H587" t="s">
        <v>26</v>
      </c>
      <c r="J587">
        <v>1964</v>
      </c>
      <c r="K587">
        <f>2026-Table1[[#This Row],[Birthyear]]</f>
        <v>62</v>
      </c>
      <c r="L587" t="s">
        <v>1293</v>
      </c>
      <c r="M587" t="s">
        <v>1293</v>
      </c>
      <c r="N587" t="s">
        <v>1309</v>
      </c>
      <c r="T587" t="str">
        <f>CONCATENATE(Table1[[#This Row],[Name]]," ",Table1[[#This Row],[Surname/Studio Name/Artistic Name]])</f>
        <v>Andy Scott</v>
      </c>
    </row>
    <row r="588" spans="1:20" x14ac:dyDescent="0.35">
      <c r="A588">
        <v>587</v>
      </c>
      <c r="B588" t="s">
        <v>1095</v>
      </c>
      <c r="C588" t="s">
        <v>874</v>
      </c>
      <c r="D588" t="s">
        <v>211</v>
      </c>
      <c r="E588" t="s">
        <v>1916</v>
      </c>
      <c r="F588" t="s">
        <v>20</v>
      </c>
      <c r="G588" t="s">
        <v>1916</v>
      </c>
      <c r="H588" t="s">
        <v>26</v>
      </c>
      <c r="J588">
        <v>1977</v>
      </c>
      <c r="K588">
        <f>2026-Table1[[#This Row],[Birthyear]]</f>
        <v>49</v>
      </c>
      <c r="L588" t="s">
        <v>1900</v>
      </c>
      <c r="M588" t="s">
        <v>1295</v>
      </c>
      <c r="N588" t="s">
        <v>1296</v>
      </c>
      <c r="O588" t="s">
        <v>1798</v>
      </c>
      <c r="P588" t="s">
        <v>1799</v>
      </c>
      <c r="Q588" t="s">
        <v>1348</v>
      </c>
      <c r="R588" t="s">
        <v>1299</v>
      </c>
      <c r="T588" t="str">
        <f>CONCATENATE(Table1[[#This Row],[Name]]," ",Table1[[#This Row],[Surname/Studio Name/Artistic Name]])</f>
        <v>Robert Seidel</v>
      </c>
    </row>
    <row r="589" spans="1:20" x14ac:dyDescent="0.35">
      <c r="A589">
        <v>588</v>
      </c>
      <c r="B589" t="s">
        <v>1096</v>
      </c>
      <c r="C589" t="s">
        <v>1097</v>
      </c>
      <c r="D589" t="s">
        <v>1891</v>
      </c>
      <c r="E589" t="s">
        <v>1916</v>
      </c>
      <c r="F589" t="s">
        <v>20</v>
      </c>
      <c r="G589" t="s">
        <v>1916</v>
      </c>
      <c r="H589" t="s">
        <v>21</v>
      </c>
      <c r="J589">
        <v>1990</v>
      </c>
      <c r="K589">
        <f>2026-Table1[[#This Row],[Birthyear]]</f>
        <v>36</v>
      </c>
      <c r="L589" t="s">
        <v>1290</v>
      </c>
      <c r="M589" t="s">
        <v>1290</v>
      </c>
      <c r="N589" t="s">
        <v>1337</v>
      </c>
      <c r="S589" t="s">
        <v>1338</v>
      </c>
      <c r="T589" t="str">
        <f>CONCATENATE(Table1[[#This Row],[Name]]," ",Table1[[#This Row],[Surname/Studio Name/Artistic Name]])</f>
        <v>Tschabalala Self</v>
      </c>
    </row>
    <row r="590" spans="1:20" x14ac:dyDescent="0.35">
      <c r="A590">
        <v>589</v>
      </c>
      <c r="B590" t="s">
        <v>1098</v>
      </c>
      <c r="C590" t="s">
        <v>1099</v>
      </c>
      <c r="D590" t="s">
        <v>47</v>
      </c>
      <c r="E590" t="s">
        <v>1916</v>
      </c>
      <c r="F590" t="s">
        <v>20</v>
      </c>
      <c r="G590" t="s">
        <v>1916</v>
      </c>
      <c r="H590" t="s">
        <v>21</v>
      </c>
      <c r="J590">
        <v>1977</v>
      </c>
      <c r="K590">
        <f>2026-Table1[[#This Row],[Birthyear]]</f>
        <v>49</v>
      </c>
      <c r="L590" t="s">
        <v>1290</v>
      </c>
      <c r="M590" t="s">
        <v>1290</v>
      </c>
      <c r="N590" t="s">
        <v>1291</v>
      </c>
      <c r="S590" t="s">
        <v>1464</v>
      </c>
      <c r="T590" t="str">
        <f>CONCATENATE(Table1[[#This Row],[Name]]," ",Table1[[#This Row],[Surname/Studio Name/Artistic Name]])</f>
        <v>Marinella Senatore</v>
      </c>
    </row>
    <row r="591" spans="1:20" x14ac:dyDescent="0.35">
      <c r="A591">
        <v>590</v>
      </c>
      <c r="B591" t="s">
        <v>1100</v>
      </c>
      <c r="C591" t="s">
        <v>1101</v>
      </c>
      <c r="D591" t="s">
        <v>1902</v>
      </c>
      <c r="E591" t="s">
        <v>1916</v>
      </c>
      <c r="F591" t="s">
        <v>20</v>
      </c>
      <c r="G591" t="s">
        <v>1916</v>
      </c>
      <c r="H591" t="s">
        <v>21</v>
      </c>
      <c r="J591">
        <v>1986</v>
      </c>
      <c r="K591">
        <f>2026-Table1[[#This Row],[Birthyear]]</f>
        <v>40</v>
      </c>
      <c r="L591" t="s">
        <v>1914</v>
      </c>
      <c r="M591" t="s">
        <v>1326</v>
      </c>
      <c r="N591" t="s">
        <v>1296</v>
      </c>
      <c r="O591" t="s">
        <v>1800</v>
      </c>
      <c r="P591">
        <v>2023</v>
      </c>
      <c r="Q591" t="s">
        <v>1344</v>
      </c>
      <c r="T591" t="str">
        <f>CONCATENATE(Table1[[#This Row],[Name]]," ",Table1[[#This Row],[Surname/Studio Name/Artistic Name]])</f>
        <v>Nilhan Sesalan</v>
      </c>
    </row>
    <row r="592" spans="1:20" x14ac:dyDescent="0.35">
      <c r="A592">
        <v>591</v>
      </c>
      <c r="B592" t="s">
        <v>1102</v>
      </c>
      <c r="C592" t="s">
        <v>60</v>
      </c>
      <c r="D592" t="s">
        <v>19</v>
      </c>
      <c r="E592" t="s">
        <v>1916</v>
      </c>
      <c r="F592" t="s">
        <v>20</v>
      </c>
      <c r="G592" t="s">
        <v>1916</v>
      </c>
      <c r="H592" t="s">
        <v>21</v>
      </c>
      <c r="J592">
        <v>1989</v>
      </c>
      <c r="K592">
        <f>2026-Table1[[#This Row],[Birthyear]]</f>
        <v>37</v>
      </c>
      <c r="L592" t="s">
        <v>1290</v>
      </c>
      <c r="M592" t="s">
        <v>1290</v>
      </c>
      <c r="N592" t="s">
        <v>1291</v>
      </c>
      <c r="S592" t="s">
        <v>1374</v>
      </c>
      <c r="T592" t="str">
        <f>CONCATENATE(Table1[[#This Row],[Name]]," ",Table1[[#This Row],[Surname/Studio Name/Artistic Name]])</f>
        <v>Sara Shakeel</v>
      </c>
    </row>
    <row r="593" spans="1:20" x14ac:dyDescent="0.35">
      <c r="A593">
        <v>592</v>
      </c>
      <c r="B593" t="s">
        <v>1103</v>
      </c>
      <c r="C593" t="s">
        <v>1104</v>
      </c>
      <c r="D593" t="s">
        <v>1901</v>
      </c>
      <c r="E593" t="s">
        <v>1916</v>
      </c>
      <c r="F593" t="s">
        <v>20</v>
      </c>
      <c r="G593" t="s">
        <v>1916</v>
      </c>
      <c r="H593" t="s">
        <v>26</v>
      </c>
      <c r="I593" t="s">
        <v>22</v>
      </c>
      <c r="J593">
        <v>1977</v>
      </c>
      <c r="K593">
        <f>2026-Table1[[#This Row],[Birthyear]]</f>
        <v>49</v>
      </c>
      <c r="L593" t="s">
        <v>1357</v>
      </c>
      <c r="M593" t="s">
        <v>1357</v>
      </c>
      <c r="N593" t="s">
        <v>1801</v>
      </c>
      <c r="S593" t="s">
        <v>1802</v>
      </c>
      <c r="T593" t="str">
        <f>CONCATENATE(Table1[[#This Row],[Name]]," ",Table1[[#This Row],[Surname/Studio Name/Artistic Name]])</f>
        <v>Conrad Shawcross</v>
      </c>
    </row>
    <row r="594" spans="1:20" x14ac:dyDescent="0.35">
      <c r="A594">
        <v>593</v>
      </c>
      <c r="B594" t="s">
        <v>1105</v>
      </c>
      <c r="C594" t="s">
        <v>1106</v>
      </c>
      <c r="D594" t="s">
        <v>219</v>
      </c>
      <c r="E594" t="s">
        <v>1916</v>
      </c>
      <c r="F594" t="s">
        <v>20</v>
      </c>
      <c r="G594" t="s">
        <v>1916</v>
      </c>
      <c r="H594" t="s">
        <v>26</v>
      </c>
      <c r="I594" t="s">
        <v>22</v>
      </c>
      <c r="J594">
        <v>1971</v>
      </c>
      <c r="K594">
        <f>2026-Table1[[#This Row],[Birthyear]]</f>
        <v>55</v>
      </c>
      <c r="L594" t="s">
        <v>1290</v>
      </c>
      <c r="M594" t="s">
        <v>1290</v>
      </c>
      <c r="N594" t="s">
        <v>1291</v>
      </c>
      <c r="S594" t="s">
        <v>1314</v>
      </c>
      <c r="T594" t="str">
        <f>CONCATENATE(Table1[[#This Row],[Name]]," ",Table1[[#This Row],[Surname/Studio Name/Artistic Name]])</f>
        <v>Wael Shawky</v>
      </c>
    </row>
    <row r="595" spans="1:20" x14ac:dyDescent="0.35">
      <c r="A595">
        <v>594</v>
      </c>
      <c r="B595" t="s">
        <v>1107</v>
      </c>
      <c r="C595" t="s">
        <v>1108</v>
      </c>
      <c r="D595" t="s">
        <v>1891</v>
      </c>
      <c r="E595" t="s">
        <v>1916</v>
      </c>
      <c r="F595" t="s">
        <v>25</v>
      </c>
      <c r="G595" t="s">
        <v>1916</v>
      </c>
      <c r="H595" t="s">
        <v>21</v>
      </c>
      <c r="J595">
        <v>1951</v>
      </c>
      <c r="K595">
        <f>2026-Table1[[#This Row],[Birthyear]]</f>
        <v>75</v>
      </c>
      <c r="L595" t="s">
        <v>1910</v>
      </c>
      <c r="M595" t="s">
        <v>1406</v>
      </c>
      <c r="N595" t="s">
        <v>1294</v>
      </c>
      <c r="T595" t="str">
        <f>CONCATENATE(Table1[[#This Row],[Name]]," ",Table1[[#This Row],[Surname/Studio Name/Artistic Name]])</f>
        <v>Arlene Shechet</v>
      </c>
    </row>
    <row r="596" spans="1:20" x14ac:dyDescent="0.35">
      <c r="A596">
        <v>595</v>
      </c>
      <c r="B596" t="s">
        <v>1109</v>
      </c>
      <c r="C596" t="s">
        <v>1110</v>
      </c>
      <c r="D596" t="s">
        <v>1901</v>
      </c>
      <c r="E596" t="s">
        <v>1916</v>
      </c>
      <c r="F596" t="s">
        <v>20</v>
      </c>
      <c r="G596" t="s">
        <v>1916</v>
      </c>
      <c r="H596" t="s">
        <v>26</v>
      </c>
      <c r="J596">
        <v>1962</v>
      </c>
      <c r="K596">
        <f>2026-Table1[[#This Row],[Birthyear]]</f>
        <v>64</v>
      </c>
      <c r="L596" t="s">
        <v>1290</v>
      </c>
      <c r="M596" t="s">
        <v>1290</v>
      </c>
      <c r="N596" t="s">
        <v>1291</v>
      </c>
      <c r="S596" t="s">
        <v>1487</v>
      </c>
      <c r="T596" t="str">
        <f>CONCATENATE(Table1[[#This Row],[Name]]," ",Table1[[#This Row],[Surname/Studio Name/Artistic Name]])</f>
        <v>Yinka Shonibare</v>
      </c>
    </row>
    <row r="597" spans="1:20" x14ac:dyDescent="0.35">
      <c r="A597">
        <v>596</v>
      </c>
      <c r="B597" t="s">
        <v>1111</v>
      </c>
      <c r="C597" t="s">
        <v>1112</v>
      </c>
      <c r="D597" t="s">
        <v>29</v>
      </c>
      <c r="E597" t="s">
        <v>1916</v>
      </c>
      <c r="F597" t="s">
        <v>20</v>
      </c>
      <c r="G597" t="s">
        <v>1916</v>
      </c>
      <c r="H597" t="s">
        <v>26</v>
      </c>
      <c r="I597" t="s">
        <v>22</v>
      </c>
      <c r="J597">
        <v>1977</v>
      </c>
      <c r="K597">
        <f>2026-Table1[[#This Row],[Birthyear]]</f>
        <v>49</v>
      </c>
      <c r="L597" t="s">
        <v>1900</v>
      </c>
      <c r="M597" t="s">
        <v>1300</v>
      </c>
      <c r="N597" t="s">
        <v>1296</v>
      </c>
      <c r="O597" t="s">
        <v>1803</v>
      </c>
      <c r="P597">
        <v>2022</v>
      </c>
      <c r="Q597" t="s">
        <v>1298</v>
      </c>
      <c r="R597" t="s">
        <v>1804</v>
      </c>
      <c r="S597" t="s">
        <v>1304</v>
      </c>
      <c r="T597" t="str">
        <f>CONCATENATE(Table1[[#This Row],[Name]]," ",Table1[[#This Row],[Surname/Studio Name/Artistic Name]])</f>
        <v>Muhannad Shono</v>
      </c>
    </row>
    <row r="598" spans="1:20" x14ac:dyDescent="0.35">
      <c r="A598">
        <v>597</v>
      </c>
      <c r="B598" t="s">
        <v>1113</v>
      </c>
      <c r="D598" t="s">
        <v>1114</v>
      </c>
      <c r="E598" t="s">
        <v>1916</v>
      </c>
      <c r="F598" t="s">
        <v>20</v>
      </c>
      <c r="G598" t="s">
        <v>1916</v>
      </c>
      <c r="H598" t="s">
        <v>21</v>
      </c>
      <c r="J598">
        <v>1969</v>
      </c>
      <c r="K598">
        <f>2026-Table1[[#This Row],[Birthyear]]</f>
        <v>57</v>
      </c>
      <c r="L598" t="s">
        <v>1900</v>
      </c>
      <c r="M598" t="s">
        <v>1317</v>
      </c>
      <c r="N598" t="s">
        <v>1296</v>
      </c>
      <c r="O598" t="s">
        <v>1805</v>
      </c>
      <c r="P598">
        <v>2023</v>
      </c>
      <c r="Q598" t="s">
        <v>1298</v>
      </c>
      <c r="R598" t="s">
        <v>1392</v>
      </c>
      <c r="S598" t="s">
        <v>1341</v>
      </c>
      <c r="T598" t="str">
        <f>CONCATENATE(Table1[[#This Row],[Name]]," ",Table1[[#This Row],[Surname/Studio Name/Artistic Name]])</f>
        <v xml:space="preserve"> Shoplifter​ (Hrafnhildur Arnardóttir)</v>
      </c>
    </row>
    <row r="599" spans="1:20" x14ac:dyDescent="0.35">
      <c r="A599">
        <v>598</v>
      </c>
      <c r="B599" t="s">
        <v>1115</v>
      </c>
      <c r="C599" t="s">
        <v>1116</v>
      </c>
      <c r="D599" t="s">
        <v>417</v>
      </c>
      <c r="E599" t="s">
        <v>1916</v>
      </c>
      <c r="F599" t="s">
        <v>20</v>
      </c>
      <c r="G599" t="s">
        <v>1916</v>
      </c>
      <c r="H599" t="s">
        <v>21</v>
      </c>
      <c r="J599">
        <v>1968</v>
      </c>
      <c r="K599">
        <f>2026-Table1[[#This Row],[Birthyear]]</f>
        <v>58</v>
      </c>
      <c r="L599" t="s">
        <v>1914</v>
      </c>
      <c r="M599" t="s">
        <v>1326</v>
      </c>
      <c r="N599" t="s">
        <v>1296</v>
      </c>
      <c r="O599" t="s">
        <v>1806</v>
      </c>
      <c r="P599">
        <v>2023</v>
      </c>
      <c r="Q599" t="s">
        <v>1344</v>
      </c>
      <c r="R599" t="s">
        <v>1299</v>
      </c>
      <c r="T599" t="str">
        <f>CONCATENATE(Table1[[#This Row],[Name]]," ",Table1[[#This Row],[Surname/Studio Name/Artistic Name]])</f>
        <v>Bertha Shortiss</v>
      </c>
    </row>
    <row r="600" spans="1:20" x14ac:dyDescent="0.35">
      <c r="A600">
        <v>599</v>
      </c>
      <c r="B600" t="s">
        <v>1117</v>
      </c>
      <c r="C600" t="s">
        <v>1118</v>
      </c>
      <c r="D600" t="s">
        <v>316</v>
      </c>
      <c r="E600" t="s">
        <v>1916</v>
      </c>
      <c r="F600" t="s">
        <v>25</v>
      </c>
      <c r="G600" t="s">
        <v>1916</v>
      </c>
      <c r="H600" t="s">
        <v>26</v>
      </c>
      <c r="J600">
        <v>1961</v>
      </c>
      <c r="K600">
        <f>2026-Table1[[#This Row],[Birthyear]]</f>
        <v>65</v>
      </c>
      <c r="L600" t="s">
        <v>1293</v>
      </c>
      <c r="M600" t="s">
        <v>1293</v>
      </c>
      <c r="N600" t="s">
        <v>1294</v>
      </c>
      <c r="T600" t="str">
        <f>CONCATENATE(Table1[[#This Row],[Name]]," ",Table1[[#This Row],[Surname/Studio Name/Artistic Name]])</f>
        <v>Jaco Sieberhagen</v>
      </c>
    </row>
    <row r="601" spans="1:20" x14ac:dyDescent="0.35">
      <c r="A601">
        <v>600</v>
      </c>
      <c r="B601" t="s">
        <v>1119</v>
      </c>
      <c r="C601" t="s">
        <v>1120</v>
      </c>
      <c r="D601" t="s">
        <v>47</v>
      </c>
      <c r="E601" t="s">
        <v>1916</v>
      </c>
      <c r="F601" t="s">
        <v>20</v>
      </c>
      <c r="G601" t="s">
        <v>1916</v>
      </c>
      <c r="H601" t="s">
        <v>26</v>
      </c>
      <c r="I601" t="s">
        <v>22</v>
      </c>
      <c r="J601">
        <v>1976</v>
      </c>
      <c r="K601">
        <f>2026-Table1[[#This Row],[Birthyear]]</f>
        <v>50</v>
      </c>
      <c r="L601" t="s">
        <v>1290</v>
      </c>
      <c r="M601" t="s">
        <v>1290</v>
      </c>
      <c r="N601" t="s">
        <v>1291</v>
      </c>
      <c r="S601" t="s">
        <v>1422</v>
      </c>
      <c r="T601" t="str">
        <f>CONCATENATE(Table1[[#This Row],[Name]]," ",Table1[[#This Row],[Surname/Studio Name/Artistic Name]])</f>
        <v>Daniele Sigalot</v>
      </c>
    </row>
    <row r="602" spans="1:20" x14ac:dyDescent="0.35">
      <c r="A602">
        <v>601</v>
      </c>
      <c r="B602" t="s">
        <v>1121</v>
      </c>
      <c r="C602" t="s">
        <v>1122</v>
      </c>
      <c r="D602" t="s">
        <v>383</v>
      </c>
      <c r="E602" t="s">
        <v>1916</v>
      </c>
      <c r="F602" t="s">
        <v>20</v>
      </c>
      <c r="G602" t="s">
        <v>1916</v>
      </c>
      <c r="H602" t="s">
        <v>26</v>
      </c>
      <c r="J602">
        <v>1963</v>
      </c>
      <c r="K602">
        <f>2026-Table1[[#This Row],[Birthyear]]</f>
        <v>63</v>
      </c>
      <c r="L602" t="s">
        <v>1914</v>
      </c>
      <c r="M602" t="s">
        <v>1326</v>
      </c>
      <c r="N602" t="s">
        <v>1296</v>
      </c>
      <c r="O602" t="s">
        <v>1807</v>
      </c>
      <c r="P602">
        <v>2023</v>
      </c>
      <c r="Q602" t="s">
        <v>1344</v>
      </c>
      <c r="T602" t="str">
        <f>CONCATENATE(Table1[[#This Row],[Name]]," ",Table1[[#This Row],[Surname/Studio Name/Artistic Name]])</f>
        <v>Qian Sihua</v>
      </c>
    </row>
    <row r="603" spans="1:20" x14ac:dyDescent="0.35">
      <c r="A603">
        <v>602</v>
      </c>
      <c r="B603" t="s">
        <v>1123</v>
      </c>
      <c r="C603" t="s">
        <v>1124</v>
      </c>
      <c r="D603" t="s">
        <v>1891</v>
      </c>
      <c r="E603" t="s">
        <v>1916</v>
      </c>
      <c r="F603" t="s">
        <v>20</v>
      </c>
      <c r="G603" t="s">
        <v>1916</v>
      </c>
      <c r="H603" t="s">
        <v>21</v>
      </c>
      <c r="J603">
        <v>1950</v>
      </c>
      <c r="K603">
        <f>2026-Table1[[#This Row],[Birthyear]]</f>
        <v>76</v>
      </c>
      <c r="L603" t="s">
        <v>1315</v>
      </c>
      <c r="M603" t="s">
        <v>1315</v>
      </c>
      <c r="N603" t="s">
        <v>1327</v>
      </c>
      <c r="S603" t="s">
        <v>1336</v>
      </c>
      <c r="T603" t="str">
        <f>CONCATENATE(Table1[[#This Row],[Name]]," ",Table1[[#This Row],[Surname/Studio Name/Artistic Name]])</f>
        <v>Jeanne Silverthorne</v>
      </c>
    </row>
    <row r="604" spans="1:20" x14ac:dyDescent="0.35">
      <c r="A604">
        <v>603</v>
      </c>
      <c r="B604" t="s">
        <v>1125</v>
      </c>
      <c r="C604" t="s">
        <v>1126</v>
      </c>
      <c r="D604" t="s">
        <v>47</v>
      </c>
      <c r="E604" t="s">
        <v>1916</v>
      </c>
      <c r="F604" t="s">
        <v>20</v>
      </c>
      <c r="G604" t="s">
        <v>1916</v>
      </c>
      <c r="H604" t="s">
        <v>26</v>
      </c>
      <c r="J604">
        <v>1968</v>
      </c>
      <c r="K604">
        <f>2026-Table1[[#This Row],[Birthyear]]</f>
        <v>58</v>
      </c>
      <c r="L604" t="s">
        <v>1900</v>
      </c>
      <c r="M604" t="s">
        <v>1295</v>
      </c>
      <c r="N604" t="s">
        <v>1296</v>
      </c>
      <c r="O604" t="s">
        <v>1808</v>
      </c>
      <c r="P604">
        <v>2020</v>
      </c>
      <c r="Q604" t="s">
        <v>1319</v>
      </c>
      <c r="R604" t="s">
        <v>1299</v>
      </c>
      <c r="T604" t="str">
        <f>CONCATENATE(Table1[[#This Row],[Name]]," ",Table1[[#This Row],[Surname/Studio Name/Artistic Name]])</f>
        <v>Francesco  Simeti</v>
      </c>
    </row>
    <row r="605" spans="1:20" x14ac:dyDescent="0.35">
      <c r="A605">
        <v>604</v>
      </c>
      <c r="B605" t="s">
        <v>1127</v>
      </c>
      <c r="C605" t="s">
        <v>849</v>
      </c>
      <c r="D605" t="s">
        <v>1901</v>
      </c>
      <c r="E605" t="s">
        <v>1916</v>
      </c>
      <c r="F605" t="s">
        <v>25</v>
      </c>
      <c r="G605" t="s">
        <v>1916</v>
      </c>
      <c r="H605" t="s">
        <v>26</v>
      </c>
      <c r="J605">
        <v>1964</v>
      </c>
      <c r="K605">
        <f>2026-Table1[[#This Row],[Birthyear]]</f>
        <v>62</v>
      </c>
      <c r="L605" t="s">
        <v>1910</v>
      </c>
      <c r="M605" t="s">
        <v>1406</v>
      </c>
      <c r="N605" t="s">
        <v>1294</v>
      </c>
      <c r="T605" t="str">
        <f>CONCATENATE(Table1[[#This Row],[Name]]," ",Table1[[#This Row],[Surname/Studio Name/Artistic Name]])</f>
        <v>Matthew Simmonds</v>
      </c>
    </row>
    <row r="606" spans="1:20" x14ac:dyDescent="0.35">
      <c r="A606">
        <v>605</v>
      </c>
      <c r="B606" t="s">
        <v>1128</v>
      </c>
      <c r="C606" t="s">
        <v>1129</v>
      </c>
      <c r="D606" t="s">
        <v>1891</v>
      </c>
      <c r="E606" t="s">
        <v>1916</v>
      </c>
      <c r="F606" t="s">
        <v>20</v>
      </c>
      <c r="G606" t="s">
        <v>1916</v>
      </c>
      <c r="H606" t="s">
        <v>26</v>
      </c>
      <c r="I606" t="s">
        <v>22</v>
      </c>
      <c r="J606">
        <v>1972</v>
      </c>
      <c r="K606">
        <f>2026-Table1[[#This Row],[Birthyear]]</f>
        <v>54</v>
      </c>
      <c r="L606" t="s">
        <v>1290</v>
      </c>
      <c r="M606" t="s">
        <v>1290</v>
      </c>
      <c r="N606" t="s">
        <v>1291</v>
      </c>
      <c r="S606" t="s">
        <v>1422</v>
      </c>
      <c r="T606" t="str">
        <f>CONCATENATE(Table1[[#This Row],[Name]]," ",Table1[[#This Row],[Surname/Studio Name/Artistic Name]])</f>
        <v>Shawn Smith</v>
      </c>
    </row>
    <row r="607" spans="1:20" x14ac:dyDescent="0.35">
      <c r="A607">
        <v>606</v>
      </c>
      <c r="B607" t="s">
        <v>1130</v>
      </c>
      <c r="C607" t="s">
        <v>1131</v>
      </c>
      <c r="D607" t="s">
        <v>1891</v>
      </c>
      <c r="E607" t="s">
        <v>1916</v>
      </c>
      <c r="F607" t="s">
        <v>20</v>
      </c>
      <c r="G607" t="s">
        <v>1916</v>
      </c>
      <c r="H607" t="s">
        <v>26</v>
      </c>
      <c r="I607" t="s">
        <v>22</v>
      </c>
      <c r="J607">
        <v>1972</v>
      </c>
      <c r="K607">
        <f>2026-Table1[[#This Row],[Birthyear]]</f>
        <v>54</v>
      </c>
      <c r="L607" t="s">
        <v>1900</v>
      </c>
      <c r="M607" t="s">
        <v>1300</v>
      </c>
      <c r="N607" t="s">
        <v>1296</v>
      </c>
      <c r="O607" t="s">
        <v>1809</v>
      </c>
      <c r="P607">
        <v>2022</v>
      </c>
      <c r="Q607" t="s">
        <v>1302</v>
      </c>
      <c r="R607" t="s">
        <v>1312</v>
      </c>
      <c r="S607" t="s">
        <v>1399</v>
      </c>
      <c r="T607" t="str">
        <f>CONCATENATE(Table1[[#This Row],[Name]]," ",Table1[[#This Row],[Surname/Studio Name/Artistic Name]])</f>
        <v>Philip K. Smith III</v>
      </c>
    </row>
    <row r="608" spans="1:20" x14ac:dyDescent="0.35">
      <c r="A608">
        <v>607</v>
      </c>
      <c r="B608" t="s">
        <v>1132</v>
      </c>
      <c r="C608" t="s">
        <v>1133</v>
      </c>
      <c r="D608" t="s">
        <v>1901</v>
      </c>
      <c r="E608" t="s">
        <v>1916</v>
      </c>
      <c r="F608" t="s">
        <v>20</v>
      </c>
      <c r="G608" t="s">
        <v>1916</v>
      </c>
      <c r="H608" t="s">
        <v>21</v>
      </c>
      <c r="J608">
        <v>1965</v>
      </c>
      <c r="K608">
        <f>2026-Table1[[#This Row],[Birthyear]]</f>
        <v>61</v>
      </c>
      <c r="L608" t="s">
        <v>1900</v>
      </c>
      <c r="M608" t="s">
        <v>1317</v>
      </c>
      <c r="N608" t="s">
        <v>1296</v>
      </c>
      <c r="O608" t="s">
        <v>1810</v>
      </c>
      <c r="P608">
        <v>2002</v>
      </c>
      <c r="Q608" t="s">
        <v>1319</v>
      </c>
      <c r="R608" t="s">
        <v>1312</v>
      </c>
      <c r="S608" t="s">
        <v>1341</v>
      </c>
      <c r="T608" t="str">
        <f>CONCATENATE(Table1[[#This Row],[Name]]," ",Table1[[#This Row],[Surname/Studio Name/Artistic Name]])</f>
        <v>Melanie Smith​</v>
      </c>
    </row>
    <row r="609" spans="1:20" x14ac:dyDescent="0.35">
      <c r="A609">
        <v>608</v>
      </c>
      <c r="B609" t="s">
        <v>1134</v>
      </c>
      <c r="C609" t="s">
        <v>1135</v>
      </c>
      <c r="D609" t="s">
        <v>1896</v>
      </c>
      <c r="E609" t="s">
        <v>1916</v>
      </c>
      <c r="F609" t="s">
        <v>20</v>
      </c>
      <c r="G609" t="s">
        <v>1916</v>
      </c>
      <c r="H609" t="s">
        <v>26</v>
      </c>
      <c r="J609">
        <v>1977</v>
      </c>
      <c r="K609">
        <f>2026-Table1[[#This Row],[Birthyear]]</f>
        <v>49</v>
      </c>
      <c r="L609" t="s">
        <v>1914</v>
      </c>
      <c r="M609" t="s">
        <v>1326</v>
      </c>
      <c r="N609" t="s">
        <v>1327</v>
      </c>
      <c r="T609" t="str">
        <f>CONCATENATE(Table1[[#This Row],[Name]]," ",Table1[[#This Row],[Surname/Studio Name/Artistic Name]])</f>
        <v>Mikhail Sobolev</v>
      </c>
    </row>
    <row r="610" spans="1:20" x14ac:dyDescent="0.35">
      <c r="A610">
        <v>609</v>
      </c>
      <c r="B610" t="s">
        <v>1136</v>
      </c>
      <c r="C610" t="s">
        <v>1137</v>
      </c>
      <c r="D610" t="s">
        <v>1138</v>
      </c>
      <c r="E610" t="s">
        <v>1916</v>
      </c>
      <c r="F610" t="s">
        <v>20</v>
      </c>
      <c r="G610" t="s">
        <v>1916</v>
      </c>
      <c r="H610" t="s">
        <v>21</v>
      </c>
      <c r="J610">
        <v>1968</v>
      </c>
      <c r="K610">
        <f>2026-Table1[[#This Row],[Birthyear]]</f>
        <v>58</v>
      </c>
      <c r="L610" t="s">
        <v>1914</v>
      </c>
      <c r="M610" t="s">
        <v>1326</v>
      </c>
      <c r="N610" t="s">
        <v>1327</v>
      </c>
      <c r="T610" t="str">
        <f>CONCATENATE(Table1[[#This Row],[Name]]," ",Table1[[#This Row],[Surname/Studio Name/Artistic Name]])</f>
        <v>Innes Soekanto</v>
      </c>
    </row>
    <row r="611" spans="1:20" x14ac:dyDescent="0.35">
      <c r="A611">
        <v>610</v>
      </c>
      <c r="B611" t="s">
        <v>1139</v>
      </c>
      <c r="C611" t="s">
        <v>749</v>
      </c>
      <c r="D611" t="s">
        <v>1896</v>
      </c>
      <c r="E611" t="s">
        <v>1916</v>
      </c>
      <c r="F611" t="s">
        <v>20</v>
      </c>
      <c r="G611" t="s">
        <v>1916</v>
      </c>
      <c r="H611" t="s">
        <v>21</v>
      </c>
      <c r="J611">
        <v>1987</v>
      </c>
      <c r="K611">
        <f>2026-Table1[[#This Row],[Birthyear]]</f>
        <v>39</v>
      </c>
      <c r="L611" t="s">
        <v>1914</v>
      </c>
      <c r="M611" t="s">
        <v>1342</v>
      </c>
      <c r="N611" t="s">
        <v>1296</v>
      </c>
      <c r="O611" t="s">
        <v>1811</v>
      </c>
      <c r="P611">
        <v>2025</v>
      </c>
      <c r="Q611" t="s">
        <v>1344</v>
      </c>
      <c r="T611" t="str">
        <f>CONCATENATE(Table1[[#This Row],[Name]]," ",Table1[[#This Row],[Surname/Studio Name/Artistic Name]])</f>
        <v>Anna Sosenskaia</v>
      </c>
    </row>
    <row r="612" spans="1:20" x14ac:dyDescent="0.35">
      <c r="A612">
        <v>611</v>
      </c>
      <c r="B612" t="s">
        <v>1140</v>
      </c>
      <c r="C612" t="s">
        <v>1141</v>
      </c>
      <c r="D612" t="s">
        <v>338</v>
      </c>
      <c r="E612" t="s">
        <v>1916</v>
      </c>
      <c r="F612" t="s">
        <v>25</v>
      </c>
      <c r="G612" t="s">
        <v>1916</v>
      </c>
      <c r="H612" t="s">
        <v>21</v>
      </c>
      <c r="I612" t="s">
        <v>22</v>
      </c>
      <c r="J612">
        <v>1972</v>
      </c>
      <c r="K612">
        <f>2026-Table1[[#This Row],[Birthyear]]</f>
        <v>54</v>
      </c>
      <c r="L612" t="s">
        <v>1293</v>
      </c>
      <c r="M612" t="s">
        <v>1293</v>
      </c>
      <c r="N612" t="s">
        <v>1296</v>
      </c>
      <c r="O612" t="s">
        <v>1812</v>
      </c>
      <c r="Q612" t="s">
        <v>1302</v>
      </c>
      <c r="R612" t="s">
        <v>1813</v>
      </c>
      <c r="S612" t="s">
        <v>1814</v>
      </c>
      <c r="T612" t="str">
        <f>CONCATENATE(Table1[[#This Row],[Name]]," ",Table1[[#This Row],[Surname/Studio Name/Artistic Name]])</f>
        <v>Monika Sosnowska</v>
      </c>
    </row>
    <row r="613" spans="1:20" x14ac:dyDescent="0.35">
      <c r="A613">
        <v>612</v>
      </c>
      <c r="B613" t="s">
        <v>1142</v>
      </c>
      <c r="C613" t="s">
        <v>1143</v>
      </c>
      <c r="D613" t="s">
        <v>1144</v>
      </c>
      <c r="E613" t="s">
        <v>1916</v>
      </c>
      <c r="F613" t="s">
        <v>25</v>
      </c>
      <c r="G613" t="s">
        <v>1916</v>
      </c>
      <c r="H613" t="s">
        <v>21</v>
      </c>
      <c r="J613">
        <v>1971</v>
      </c>
      <c r="K613">
        <f>2026-Table1[[#This Row],[Birthyear]]</f>
        <v>55</v>
      </c>
      <c r="L613" t="s">
        <v>1900</v>
      </c>
      <c r="M613" t="s">
        <v>1317</v>
      </c>
      <c r="N613" t="s">
        <v>1296</v>
      </c>
      <c r="O613" t="s">
        <v>1815</v>
      </c>
      <c r="P613">
        <v>2023</v>
      </c>
      <c r="Q613" t="s">
        <v>1302</v>
      </c>
      <c r="R613" t="s">
        <v>1392</v>
      </c>
      <c r="S613" t="s">
        <v>1341</v>
      </c>
      <c r="T613" t="str">
        <f>CONCATENATE(Table1[[#This Row],[Name]]," ",Table1[[#This Row],[Surname/Studio Name/Artistic Name]])</f>
        <v>Edra Soto​</v>
      </c>
    </row>
    <row r="614" spans="1:20" x14ac:dyDescent="0.35">
      <c r="A614">
        <v>613</v>
      </c>
      <c r="B614" t="s">
        <v>1145</v>
      </c>
      <c r="C614" t="s">
        <v>1146</v>
      </c>
      <c r="D614" t="s">
        <v>47</v>
      </c>
      <c r="E614" t="s">
        <v>1916</v>
      </c>
      <c r="F614" t="s">
        <v>20</v>
      </c>
      <c r="G614" t="s">
        <v>1916</v>
      </c>
      <c r="H614" t="s">
        <v>26</v>
      </c>
      <c r="I614" t="s">
        <v>22</v>
      </c>
      <c r="J614">
        <v>1979</v>
      </c>
      <c r="K614">
        <f>2026-Table1[[#This Row],[Birthyear]]</f>
        <v>47</v>
      </c>
      <c r="L614" t="s">
        <v>1315</v>
      </c>
      <c r="M614" t="s">
        <v>1315</v>
      </c>
      <c r="N614" t="s">
        <v>1291</v>
      </c>
      <c r="S614" t="s">
        <v>1533</v>
      </c>
      <c r="T614" t="str">
        <f>CONCATENATE(Table1[[#This Row],[Name]]," ",Table1[[#This Row],[Surname/Studio Name/Artistic Name]])</f>
        <v>Michele Spanghero</v>
      </c>
    </row>
    <row r="615" spans="1:20" x14ac:dyDescent="0.35">
      <c r="A615">
        <v>614</v>
      </c>
      <c r="B615" t="s">
        <v>1147</v>
      </c>
      <c r="C615" t="s">
        <v>272</v>
      </c>
      <c r="D615" t="s">
        <v>252</v>
      </c>
      <c r="E615" t="s">
        <v>1916</v>
      </c>
      <c r="F615" t="s">
        <v>20</v>
      </c>
      <c r="G615" t="s">
        <v>1916</v>
      </c>
      <c r="H615" t="s">
        <v>26</v>
      </c>
      <c r="I615" t="s">
        <v>22</v>
      </c>
      <c r="J615">
        <v>1978</v>
      </c>
      <c r="K615">
        <f>2026-Table1[[#This Row],[Birthyear]]</f>
        <v>48</v>
      </c>
      <c r="L615" t="s">
        <v>1900</v>
      </c>
      <c r="M615" t="s">
        <v>1300</v>
      </c>
      <c r="N615" t="s">
        <v>1296</v>
      </c>
      <c r="O615" t="s">
        <v>1816</v>
      </c>
      <c r="P615">
        <v>2022</v>
      </c>
      <c r="Q615" t="s">
        <v>1298</v>
      </c>
      <c r="R615" t="s">
        <v>1312</v>
      </c>
      <c r="S615" t="s">
        <v>1484</v>
      </c>
      <c r="T615" t="str">
        <f>CONCATENATE(Table1[[#This Row],[Name]]," ",Table1[[#This Row],[Surname/Studio Name/Artistic Name]])</f>
        <v>David Spriggs</v>
      </c>
    </row>
    <row r="616" spans="1:20" x14ac:dyDescent="0.35">
      <c r="A616">
        <v>615</v>
      </c>
      <c r="B616" t="s">
        <v>1148</v>
      </c>
      <c r="D616" t="s">
        <v>209</v>
      </c>
      <c r="E616" t="s">
        <v>1916</v>
      </c>
      <c r="F616" t="s">
        <v>20</v>
      </c>
      <c r="G616" t="s">
        <v>1916</v>
      </c>
      <c r="H616" t="s">
        <v>26</v>
      </c>
      <c r="I616" t="s">
        <v>22</v>
      </c>
      <c r="J616">
        <v>1975</v>
      </c>
      <c r="K616">
        <f>2026-Table1[[#This Row],[Birthyear]]</f>
        <v>51</v>
      </c>
      <c r="L616" t="s">
        <v>1900</v>
      </c>
      <c r="M616" t="s">
        <v>1300</v>
      </c>
      <c r="N616" t="s">
        <v>1296</v>
      </c>
      <c r="O616" t="s">
        <v>1817</v>
      </c>
      <c r="P616">
        <v>2021</v>
      </c>
      <c r="Q616" t="s">
        <v>1298</v>
      </c>
      <c r="R616" t="s">
        <v>1818</v>
      </c>
      <c r="S616" t="s">
        <v>1304</v>
      </c>
      <c r="T616" t="str">
        <f>CONCATENATE(Table1[[#This Row],[Name]]," ",Table1[[#This Row],[Surname/Studio Name/Artistic Name]])</f>
        <v xml:space="preserve"> SpY</v>
      </c>
    </row>
    <row r="617" spans="1:20" x14ac:dyDescent="0.35">
      <c r="A617">
        <v>616</v>
      </c>
      <c r="B617" t="s">
        <v>1149</v>
      </c>
      <c r="D617" t="s">
        <v>1901</v>
      </c>
      <c r="E617" t="s">
        <v>1916</v>
      </c>
      <c r="F617" t="s">
        <v>20</v>
      </c>
      <c r="G617" t="s">
        <v>1916</v>
      </c>
      <c r="H617" t="s">
        <v>26</v>
      </c>
      <c r="J617">
        <v>1962</v>
      </c>
      <c r="K617">
        <f>2026-Table1[[#This Row],[Birthyear]]</f>
        <v>64</v>
      </c>
      <c r="L617" t="s">
        <v>1900</v>
      </c>
      <c r="M617" t="s">
        <v>1322</v>
      </c>
      <c r="N617" t="s">
        <v>1296</v>
      </c>
      <c r="O617" t="s">
        <v>1819</v>
      </c>
      <c r="P617">
        <v>2021</v>
      </c>
      <c r="Q617" t="s">
        <v>1820</v>
      </c>
      <c r="R617" t="s">
        <v>1382</v>
      </c>
      <c r="S617" t="s">
        <v>1341</v>
      </c>
      <c r="T617" t="str">
        <f>CONCATENATE(Table1[[#This Row],[Name]]," ",Table1[[#This Row],[Surname/Studio Name/Artistic Name]])</f>
        <v xml:space="preserve"> Stanza</v>
      </c>
    </row>
    <row r="618" spans="1:20" x14ac:dyDescent="0.35">
      <c r="A618">
        <v>617</v>
      </c>
      <c r="B618" t="s">
        <v>1150</v>
      </c>
      <c r="C618" t="s">
        <v>1151</v>
      </c>
      <c r="D618" t="s">
        <v>417</v>
      </c>
      <c r="E618" t="s">
        <v>1916</v>
      </c>
      <c r="F618" t="s">
        <v>20</v>
      </c>
      <c r="G618" t="s">
        <v>1916</v>
      </c>
      <c r="H618" t="s">
        <v>26</v>
      </c>
      <c r="J618">
        <v>1978</v>
      </c>
      <c r="K618">
        <f>2026-Table1[[#This Row],[Birthyear]]</f>
        <v>48</v>
      </c>
      <c r="L618" t="s">
        <v>1914</v>
      </c>
      <c r="M618" t="s">
        <v>1342</v>
      </c>
      <c r="N618" t="s">
        <v>1296</v>
      </c>
      <c r="O618" t="s">
        <v>1821</v>
      </c>
      <c r="P618">
        <v>2025</v>
      </c>
      <c r="Q618" t="s">
        <v>1344</v>
      </c>
      <c r="T618" t="str">
        <f>CONCATENATE(Table1[[#This Row],[Name]]," ",Table1[[#This Row],[Surname/Studio Name/Artistic Name]])</f>
        <v>Reto Steiner</v>
      </c>
    </row>
    <row r="619" spans="1:20" x14ac:dyDescent="0.35">
      <c r="A619">
        <v>618</v>
      </c>
      <c r="B619" t="s">
        <v>1152</v>
      </c>
      <c r="C619" t="s">
        <v>1153</v>
      </c>
      <c r="D619" t="s">
        <v>1891</v>
      </c>
      <c r="E619" t="s">
        <v>1916</v>
      </c>
      <c r="F619" t="s">
        <v>20</v>
      </c>
      <c r="G619" t="s">
        <v>1916</v>
      </c>
      <c r="H619" t="s">
        <v>21</v>
      </c>
      <c r="J619">
        <v>1958</v>
      </c>
      <c r="K619">
        <f>2026-Table1[[#This Row],[Birthyear]]</f>
        <v>68</v>
      </c>
      <c r="L619" t="s">
        <v>1900</v>
      </c>
      <c r="M619" t="s">
        <v>1300</v>
      </c>
      <c r="N619" t="s">
        <v>1296</v>
      </c>
      <c r="O619" t="s">
        <v>1822</v>
      </c>
      <c r="P619">
        <v>2022</v>
      </c>
      <c r="Q619" t="s">
        <v>1319</v>
      </c>
      <c r="R619" t="s">
        <v>1823</v>
      </c>
      <c r="S619" t="s">
        <v>1304</v>
      </c>
      <c r="T619" t="str">
        <f>CONCATENATE(Table1[[#This Row],[Name]]," ",Table1[[#This Row],[Surname/Studio Name/Artistic Name]])</f>
        <v>Jennifer Steinkamp</v>
      </c>
    </row>
    <row r="620" spans="1:20" x14ac:dyDescent="0.35">
      <c r="A620">
        <v>619</v>
      </c>
      <c r="B620" t="s">
        <v>1154</v>
      </c>
      <c r="C620" t="s">
        <v>1155</v>
      </c>
      <c r="D620" t="s">
        <v>1891</v>
      </c>
      <c r="E620" t="s">
        <v>1916</v>
      </c>
      <c r="F620" t="s">
        <v>25</v>
      </c>
      <c r="G620" t="s">
        <v>1916</v>
      </c>
      <c r="H620" t="s">
        <v>26</v>
      </c>
      <c r="J620">
        <v>1968</v>
      </c>
      <c r="K620">
        <f>2026-Table1[[#This Row],[Birthyear]]</f>
        <v>58</v>
      </c>
      <c r="L620" t="s">
        <v>1293</v>
      </c>
      <c r="M620" t="s">
        <v>1293</v>
      </c>
      <c r="N620" t="s">
        <v>1294</v>
      </c>
      <c r="T620" t="str">
        <f>CONCATENATE(Table1[[#This Row],[Name]]," ",Table1[[#This Row],[Surname/Studio Name/Artistic Name]])</f>
        <v>Eric Stephenson</v>
      </c>
    </row>
    <row r="621" spans="1:20" x14ac:dyDescent="0.35">
      <c r="A621">
        <v>620</v>
      </c>
      <c r="B621" t="s">
        <v>1156</v>
      </c>
      <c r="C621" t="s">
        <v>1157</v>
      </c>
      <c r="D621" t="s">
        <v>252</v>
      </c>
      <c r="E621" t="s">
        <v>1916</v>
      </c>
      <c r="F621" t="s">
        <v>20</v>
      </c>
      <c r="G621" t="s">
        <v>1916</v>
      </c>
      <c r="H621" t="s">
        <v>21</v>
      </c>
      <c r="J621">
        <v>1975</v>
      </c>
      <c r="K621">
        <f>2026-Table1[[#This Row],[Birthyear]]</f>
        <v>51</v>
      </c>
      <c r="L621" t="s">
        <v>1914</v>
      </c>
      <c r="M621" t="s">
        <v>1361</v>
      </c>
      <c r="N621" t="s">
        <v>1296</v>
      </c>
      <c r="O621" t="s">
        <v>1824</v>
      </c>
      <c r="P621">
        <v>2024</v>
      </c>
      <c r="Q621" t="s">
        <v>1344</v>
      </c>
      <c r="R621" t="s">
        <v>1825</v>
      </c>
      <c r="T621" t="str">
        <f>CONCATENATE(Table1[[#This Row],[Name]]," ",Table1[[#This Row],[Surname/Studio Name/Artistic Name]])</f>
        <v>Galina Stetco</v>
      </c>
    </row>
    <row r="622" spans="1:20" x14ac:dyDescent="0.35">
      <c r="A622">
        <v>621</v>
      </c>
      <c r="B622" t="s">
        <v>1158</v>
      </c>
      <c r="C622" t="s">
        <v>1159</v>
      </c>
      <c r="D622" t="s">
        <v>1160</v>
      </c>
      <c r="E622" t="s">
        <v>1916</v>
      </c>
      <c r="F622" t="s">
        <v>20</v>
      </c>
      <c r="G622" t="s">
        <v>1916</v>
      </c>
      <c r="H622" t="s">
        <v>26</v>
      </c>
      <c r="J622">
        <v>1979</v>
      </c>
      <c r="K622">
        <f>2026-Table1[[#This Row],[Birthyear]]</f>
        <v>47</v>
      </c>
      <c r="L622" t="s">
        <v>1290</v>
      </c>
      <c r="M622" t="s">
        <v>1290</v>
      </c>
      <c r="N622" t="s">
        <v>1291</v>
      </c>
      <c r="S622" t="s">
        <v>1532</v>
      </c>
      <c r="T622" t="str">
        <f>CONCATENATE(Table1[[#This Row],[Name]]," ",Table1[[#This Row],[Surname/Studio Name/Artistic Name]])</f>
        <v>Tavares Strachan</v>
      </c>
    </row>
    <row r="623" spans="1:20" x14ac:dyDescent="0.35">
      <c r="A623">
        <v>622</v>
      </c>
      <c r="B623" t="s">
        <v>1161</v>
      </c>
      <c r="C623" t="s">
        <v>1162</v>
      </c>
      <c r="D623" t="s">
        <v>313</v>
      </c>
      <c r="E623" t="s">
        <v>1916</v>
      </c>
      <c r="F623" t="s">
        <v>20</v>
      </c>
      <c r="G623" t="s">
        <v>1916</v>
      </c>
      <c r="H623" t="s">
        <v>21</v>
      </c>
      <c r="J623">
        <v>1968</v>
      </c>
      <c r="K623">
        <f>2026-Table1[[#This Row],[Birthyear]]</f>
        <v>58</v>
      </c>
      <c r="L623" t="s">
        <v>1900</v>
      </c>
      <c r="M623" t="s">
        <v>1310</v>
      </c>
      <c r="N623" t="s">
        <v>1296</v>
      </c>
      <c r="O623" t="s">
        <v>1826</v>
      </c>
      <c r="P623">
        <v>2015</v>
      </c>
      <c r="Q623" t="s">
        <v>1302</v>
      </c>
      <c r="R623" t="s">
        <v>1827</v>
      </c>
      <c r="T623" t="str">
        <f>CONCATENATE(Table1[[#This Row],[Name]]," ",Table1[[#This Row],[Surname/Studio Name/Artistic Name]])</f>
        <v>Aleksandra Stratimirovic</v>
      </c>
    </row>
    <row r="624" spans="1:20" x14ac:dyDescent="0.35">
      <c r="A624">
        <v>623</v>
      </c>
      <c r="B624" t="s">
        <v>1163</v>
      </c>
      <c r="C624" t="s">
        <v>613</v>
      </c>
      <c r="D624" t="s">
        <v>417</v>
      </c>
      <c r="E624" t="s">
        <v>1916</v>
      </c>
      <c r="F624" t="s">
        <v>25</v>
      </c>
      <c r="G624" t="s">
        <v>1916</v>
      </c>
      <c r="H624" t="s">
        <v>26</v>
      </c>
      <c r="J624">
        <v>1962</v>
      </c>
      <c r="K624">
        <f>2026-Table1[[#This Row],[Birthyear]]</f>
        <v>64</v>
      </c>
      <c r="L624" t="s">
        <v>1293</v>
      </c>
      <c r="M624" t="s">
        <v>1293</v>
      </c>
      <c r="N624" t="s">
        <v>1294</v>
      </c>
      <c r="T624" t="str">
        <f>CONCATENATE(Table1[[#This Row],[Name]]," ",Table1[[#This Row],[Surname/Studio Name/Artistic Name]])</f>
        <v>Thomas Stricker</v>
      </c>
    </row>
    <row r="625" spans="1:20" x14ac:dyDescent="0.35">
      <c r="A625">
        <v>624</v>
      </c>
      <c r="B625" t="s">
        <v>1164</v>
      </c>
      <c r="C625" t="s">
        <v>1165</v>
      </c>
      <c r="D625" t="s">
        <v>595</v>
      </c>
      <c r="E625" t="s">
        <v>1916</v>
      </c>
      <c r="F625" t="s">
        <v>20</v>
      </c>
      <c r="G625" t="s">
        <v>1916</v>
      </c>
      <c r="H625" t="s">
        <v>26</v>
      </c>
      <c r="J625">
        <v>1987</v>
      </c>
      <c r="K625">
        <f>2026-Table1[[#This Row],[Birthyear]]</f>
        <v>39</v>
      </c>
      <c r="L625" t="s">
        <v>1914</v>
      </c>
      <c r="M625" t="s">
        <v>1425</v>
      </c>
      <c r="N625" t="s">
        <v>1296</v>
      </c>
      <c r="P625">
        <v>2019</v>
      </c>
      <c r="T625" t="str">
        <f>CONCATENATE(Table1[[#This Row],[Name]]," ",Table1[[#This Row],[Surname/Studio Name/Artistic Name]])</f>
        <v>Arijel Strukelj</v>
      </c>
    </row>
    <row r="626" spans="1:20" x14ac:dyDescent="0.35">
      <c r="A626">
        <v>625</v>
      </c>
      <c r="B626" t="s">
        <v>1166</v>
      </c>
      <c r="C626" t="s">
        <v>1167</v>
      </c>
      <c r="D626" t="s">
        <v>29</v>
      </c>
      <c r="E626" t="s">
        <v>1916</v>
      </c>
      <c r="F626" t="s">
        <v>25</v>
      </c>
      <c r="G626" t="s">
        <v>1916</v>
      </c>
      <c r="H626" t="s">
        <v>21</v>
      </c>
      <c r="J626">
        <v>1999</v>
      </c>
      <c r="K626">
        <f>2026-Table1[[#This Row],[Birthyear]]</f>
        <v>27</v>
      </c>
      <c r="L626" t="s">
        <v>1900</v>
      </c>
      <c r="M626" t="s">
        <v>1317</v>
      </c>
      <c r="N626" t="s">
        <v>1296</v>
      </c>
      <c r="O626" t="s">
        <v>1828</v>
      </c>
      <c r="P626">
        <v>2023</v>
      </c>
      <c r="Q626" t="s">
        <v>1319</v>
      </c>
      <c r="R626" t="s">
        <v>1312</v>
      </c>
      <c r="S626" t="s">
        <v>1320</v>
      </c>
      <c r="T626" t="str">
        <f>CONCATENATE(Table1[[#This Row],[Name]]," ",Table1[[#This Row],[Surname/Studio Name/Artistic Name]])</f>
        <v>Abeer Sultan ​</v>
      </c>
    </row>
    <row r="627" spans="1:20" x14ac:dyDescent="0.35">
      <c r="A627">
        <v>626</v>
      </c>
      <c r="B627" t="s">
        <v>1168</v>
      </c>
      <c r="C627" t="s">
        <v>1169</v>
      </c>
      <c r="D627" t="s">
        <v>572</v>
      </c>
      <c r="E627" t="s">
        <v>1916</v>
      </c>
      <c r="F627" t="s">
        <v>20</v>
      </c>
      <c r="G627" t="s">
        <v>1916</v>
      </c>
      <c r="H627" t="s">
        <v>26</v>
      </c>
      <c r="J627">
        <v>1976</v>
      </c>
      <c r="K627">
        <f>2026-Table1[[#This Row],[Birthyear]]</f>
        <v>50</v>
      </c>
      <c r="L627" t="s">
        <v>1914</v>
      </c>
      <c r="M627" t="s">
        <v>1326</v>
      </c>
      <c r="N627" t="s">
        <v>1327</v>
      </c>
      <c r="T627" t="str">
        <f>CONCATENATE(Table1[[#This Row],[Name]]," ",Table1[[#This Row],[Surname/Studio Name/Artistic Name]])</f>
        <v>Radoslav Sultov</v>
      </c>
    </row>
    <row r="628" spans="1:20" x14ac:dyDescent="0.35">
      <c r="A628">
        <v>627</v>
      </c>
      <c r="B628" t="s">
        <v>1170</v>
      </c>
      <c r="D628" t="s">
        <v>1891</v>
      </c>
      <c r="E628" t="s">
        <v>1916</v>
      </c>
      <c r="F628" t="s">
        <v>25</v>
      </c>
      <c r="G628" t="s">
        <v>1916</v>
      </c>
      <c r="H628" t="s">
        <v>21</v>
      </c>
      <c r="I628" t="s">
        <v>22</v>
      </c>
      <c r="J628">
        <v>1977</v>
      </c>
      <c r="K628">
        <f>2026-Table1[[#This Row],[Birthyear]]</f>
        <v>49</v>
      </c>
      <c r="L628" t="s">
        <v>1290</v>
      </c>
      <c r="M628" t="s">
        <v>1290</v>
      </c>
      <c r="N628" t="s">
        <v>1291</v>
      </c>
      <c r="S628" t="s">
        <v>1603</v>
      </c>
      <c r="T628" t="str">
        <f>CONCATENATE(Table1[[#This Row],[Name]]," ",Table1[[#This Row],[Surname/Studio Name/Artistic Name]])</f>
        <v xml:space="preserve"> Summer Wheat</v>
      </c>
    </row>
    <row r="629" spans="1:20" x14ac:dyDescent="0.35">
      <c r="A629">
        <v>628</v>
      </c>
      <c r="B629" t="s">
        <v>1171</v>
      </c>
      <c r="C629" t="s">
        <v>272</v>
      </c>
      <c r="D629" t="s">
        <v>313</v>
      </c>
      <c r="E629" t="s">
        <v>1916</v>
      </c>
      <c r="F629" t="s">
        <v>20</v>
      </c>
      <c r="G629" t="s">
        <v>1916</v>
      </c>
      <c r="H629" t="s">
        <v>26</v>
      </c>
      <c r="I629" t="s">
        <v>22</v>
      </c>
      <c r="J629">
        <v>1973</v>
      </c>
      <c r="K629">
        <f>2026-Table1[[#This Row],[Birthyear]]</f>
        <v>53</v>
      </c>
      <c r="L629" t="s">
        <v>1290</v>
      </c>
      <c r="M629" t="s">
        <v>1290</v>
      </c>
      <c r="N629" t="s">
        <v>1291</v>
      </c>
      <c r="S629" t="s">
        <v>1422</v>
      </c>
      <c r="T629" t="str">
        <f>CONCATENATE(Table1[[#This Row],[Name]]," ",Table1[[#This Row],[Surname/Studio Name/Artistic Name]])</f>
        <v>David Svensson</v>
      </c>
    </row>
    <row r="630" spans="1:20" x14ac:dyDescent="0.35">
      <c r="A630">
        <v>629</v>
      </c>
      <c r="B630" t="s">
        <v>1172</v>
      </c>
      <c r="C630" t="s">
        <v>1173</v>
      </c>
      <c r="D630" t="s">
        <v>19</v>
      </c>
      <c r="E630" t="s">
        <v>1916</v>
      </c>
      <c r="F630" t="s">
        <v>20</v>
      </c>
      <c r="G630" t="s">
        <v>1916</v>
      </c>
      <c r="H630" t="s">
        <v>26</v>
      </c>
      <c r="I630" t="s">
        <v>22</v>
      </c>
      <c r="J630">
        <v>1974</v>
      </c>
      <c r="K630">
        <f>2026-Table1[[#This Row],[Birthyear]]</f>
        <v>52</v>
      </c>
      <c r="L630" t="s">
        <v>1290</v>
      </c>
      <c r="M630" t="s">
        <v>1290</v>
      </c>
      <c r="N630" t="s">
        <v>1387</v>
      </c>
      <c r="O630" t="s">
        <v>1829</v>
      </c>
      <c r="Q630" t="s">
        <v>1298</v>
      </c>
      <c r="R630" t="s">
        <v>1830</v>
      </c>
      <c r="S630" t="s">
        <v>1508</v>
      </c>
      <c r="T630" t="str">
        <f>CONCATENATE(Table1[[#This Row],[Name]]," ",Table1[[#This Row],[Surname/Studio Name/Artistic Name]])</f>
        <v>Abdullah M.I. Syed</v>
      </c>
    </row>
    <row r="631" spans="1:20" x14ac:dyDescent="0.35">
      <c r="A631">
        <v>630</v>
      </c>
      <c r="B631" t="s">
        <v>1174</v>
      </c>
      <c r="C631" t="s">
        <v>198</v>
      </c>
      <c r="D631" t="s">
        <v>29</v>
      </c>
      <c r="E631" t="s">
        <v>1916</v>
      </c>
      <c r="F631" t="s">
        <v>25</v>
      </c>
      <c r="G631" t="s">
        <v>1916</v>
      </c>
      <c r="H631" t="s">
        <v>26</v>
      </c>
      <c r="I631" t="s">
        <v>22</v>
      </c>
      <c r="J631">
        <v>1996</v>
      </c>
      <c r="K631">
        <f>2026-Table1[[#This Row],[Birthyear]]</f>
        <v>30</v>
      </c>
      <c r="L631" t="s">
        <v>1290</v>
      </c>
      <c r="M631" t="s">
        <v>1290</v>
      </c>
      <c r="N631" t="s">
        <v>1387</v>
      </c>
      <c r="O631" t="s">
        <v>1831</v>
      </c>
      <c r="Q631" t="s">
        <v>1298</v>
      </c>
      <c r="R631" t="s">
        <v>1832</v>
      </c>
      <c r="S631" t="s">
        <v>1508</v>
      </c>
      <c r="T631" t="str">
        <f>CONCATENATE(Table1[[#This Row],[Name]]," ",Table1[[#This Row],[Surname/Studio Name/Artistic Name]])</f>
        <v>Abdulrahman Taha</v>
      </c>
    </row>
    <row r="632" spans="1:20" x14ac:dyDescent="0.35">
      <c r="A632">
        <v>631</v>
      </c>
      <c r="B632" t="s">
        <v>1175</v>
      </c>
      <c r="C632" t="s">
        <v>1176</v>
      </c>
      <c r="D632" t="s">
        <v>216</v>
      </c>
      <c r="E632" t="s">
        <v>1916</v>
      </c>
      <c r="F632" t="s">
        <v>20</v>
      </c>
      <c r="G632" t="s">
        <v>1916</v>
      </c>
      <c r="H632" t="s">
        <v>26</v>
      </c>
      <c r="J632">
        <v>1963</v>
      </c>
      <c r="K632">
        <f>2026-Table1[[#This Row],[Birthyear]]</f>
        <v>63</v>
      </c>
      <c r="L632" t="s">
        <v>1900</v>
      </c>
      <c r="M632" t="s">
        <v>1295</v>
      </c>
      <c r="N632" t="s">
        <v>1296</v>
      </c>
      <c r="O632" t="s">
        <v>1833</v>
      </c>
      <c r="P632">
        <v>2014</v>
      </c>
      <c r="Q632" t="s">
        <v>1298</v>
      </c>
      <c r="R632" t="s">
        <v>1467</v>
      </c>
      <c r="T632" t="str">
        <f>CONCATENATE(Table1[[#This Row],[Name]]," ",Table1[[#This Row],[Surname/Studio Name/Artistic Name]])</f>
        <v>Shiro  Takatani (Dumb Type)</v>
      </c>
    </row>
    <row r="633" spans="1:20" x14ac:dyDescent="0.35">
      <c r="A633">
        <v>632</v>
      </c>
      <c r="B633" t="s">
        <v>1177</v>
      </c>
      <c r="C633" t="s">
        <v>1178</v>
      </c>
      <c r="D633" t="s">
        <v>572</v>
      </c>
      <c r="E633" t="s">
        <v>1916</v>
      </c>
      <c r="F633" t="s">
        <v>20</v>
      </c>
      <c r="G633" t="s">
        <v>1916</v>
      </c>
      <c r="H633" t="s">
        <v>26</v>
      </c>
      <c r="J633">
        <v>1973</v>
      </c>
      <c r="K633">
        <f>2026-Table1[[#This Row],[Birthyear]]</f>
        <v>53</v>
      </c>
      <c r="L633" t="s">
        <v>1914</v>
      </c>
      <c r="M633" t="s">
        <v>1345</v>
      </c>
      <c r="N633" t="s">
        <v>1296</v>
      </c>
      <c r="O633" t="s">
        <v>1834</v>
      </c>
      <c r="P633">
        <v>2021</v>
      </c>
      <c r="Q633" t="s">
        <v>1344</v>
      </c>
      <c r="R633" t="s">
        <v>1299</v>
      </c>
      <c r="T633" t="str">
        <f>CONCATENATE(Table1[[#This Row],[Name]]," ",Table1[[#This Row],[Surname/Studio Name/Artistic Name]])</f>
        <v>Kamen Tanev</v>
      </c>
    </row>
    <row r="634" spans="1:20" x14ac:dyDescent="0.35">
      <c r="A634">
        <v>633</v>
      </c>
      <c r="B634" t="s">
        <v>1179</v>
      </c>
      <c r="C634" t="s">
        <v>1180</v>
      </c>
      <c r="D634" t="s">
        <v>300</v>
      </c>
      <c r="E634" t="s">
        <v>1916</v>
      </c>
      <c r="F634" t="s">
        <v>20</v>
      </c>
      <c r="G634" t="s">
        <v>1916</v>
      </c>
      <c r="H634" t="s">
        <v>26</v>
      </c>
      <c r="J634">
        <v>1984</v>
      </c>
      <c r="K634">
        <f>2026-Table1[[#This Row],[Birthyear]]</f>
        <v>42</v>
      </c>
      <c r="L634" t="s">
        <v>1900</v>
      </c>
      <c r="M634" t="s">
        <v>1322</v>
      </c>
      <c r="N634" t="s">
        <v>1296</v>
      </c>
      <c r="O634" t="s">
        <v>1835</v>
      </c>
      <c r="P634">
        <v>2018</v>
      </c>
      <c r="Q634" t="s">
        <v>1820</v>
      </c>
      <c r="R634" t="s">
        <v>1382</v>
      </c>
      <c r="T634" t="str">
        <f>CONCATENATE(Table1[[#This Row],[Name]]," ",Table1[[#This Row],[Surname/Studio Name/Artistic Name]])</f>
        <v>Romain Tardy</v>
      </c>
    </row>
    <row r="635" spans="1:20" x14ac:dyDescent="0.35">
      <c r="A635">
        <v>634</v>
      </c>
      <c r="B635" t="s">
        <v>1181</v>
      </c>
      <c r="C635" t="s">
        <v>1182</v>
      </c>
      <c r="D635" t="s">
        <v>219</v>
      </c>
      <c r="E635" t="s">
        <v>1916</v>
      </c>
      <c r="F635" t="s">
        <v>20</v>
      </c>
      <c r="G635" t="s">
        <v>1916</v>
      </c>
      <c r="H635" t="s">
        <v>21</v>
      </c>
      <c r="I635" t="s">
        <v>22</v>
      </c>
      <c r="J635">
        <v>1989</v>
      </c>
      <c r="K635">
        <f>2026-Table1[[#This Row],[Birthyear]]</f>
        <v>37</v>
      </c>
      <c r="L635" t="s">
        <v>1290</v>
      </c>
      <c r="M635" t="s">
        <v>1290</v>
      </c>
      <c r="N635" t="s">
        <v>1291</v>
      </c>
      <c r="S635" t="s">
        <v>1468</v>
      </c>
      <c r="T635" t="str">
        <f>CONCATENATE(Table1[[#This Row],[Name]]," ",Table1[[#This Row],[Surname/Studio Name/Artistic Name]])</f>
        <v>Aya Tarek</v>
      </c>
    </row>
    <row r="636" spans="1:20" x14ac:dyDescent="0.35">
      <c r="A636">
        <v>635</v>
      </c>
      <c r="B636" t="s">
        <v>1183</v>
      </c>
      <c r="C636" t="s">
        <v>1184</v>
      </c>
      <c r="D636" t="s">
        <v>216</v>
      </c>
      <c r="E636" t="s">
        <v>1916</v>
      </c>
      <c r="F636" t="s">
        <v>20</v>
      </c>
      <c r="G636" t="s">
        <v>1916</v>
      </c>
      <c r="H636" t="s">
        <v>26</v>
      </c>
      <c r="J636">
        <v>1986</v>
      </c>
      <c r="K636">
        <f>2026-Table1[[#This Row],[Birthyear]]</f>
        <v>40</v>
      </c>
      <c r="L636" t="s">
        <v>1900</v>
      </c>
      <c r="M636" t="s">
        <v>1322</v>
      </c>
      <c r="N636" t="s">
        <v>1296</v>
      </c>
      <c r="O636" t="s">
        <v>1836</v>
      </c>
      <c r="P636">
        <v>2024</v>
      </c>
      <c r="Q636" t="s">
        <v>1319</v>
      </c>
      <c r="R636" t="s">
        <v>1312</v>
      </c>
      <c r="S636" t="s">
        <v>1837</v>
      </c>
      <c r="T636" t="str">
        <f>CONCATENATE(Table1[[#This Row],[Name]]," ",Table1[[#This Row],[Surname/Studio Name/Artistic Name]])</f>
        <v>Jukan Tateisi</v>
      </c>
    </row>
    <row r="637" spans="1:20" x14ac:dyDescent="0.35">
      <c r="A637">
        <v>636</v>
      </c>
      <c r="B637" t="s">
        <v>1185</v>
      </c>
      <c r="C637" t="s">
        <v>1186</v>
      </c>
      <c r="D637" t="s">
        <v>1891</v>
      </c>
      <c r="E637" t="s">
        <v>1916</v>
      </c>
      <c r="F637" t="s">
        <v>20</v>
      </c>
      <c r="G637" t="s">
        <v>1916</v>
      </c>
      <c r="H637" t="s">
        <v>21</v>
      </c>
      <c r="J637">
        <v>1962</v>
      </c>
      <c r="K637">
        <f>2026-Table1[[#This Row],[Birthyear]]</f>
        <v>64</v>
      </c>
      <c r="L637" t="s">
        <v>1900</v>
      </c>
      <c r="M637" t="s">
        <v>1300</v>
      </c>
      <c r="N637" t="s">
        <v>1296</v>
      </c>
      <c r="O637" t="s">
        <v>1838</v>
      </c>
      <c r="P637">
        <v>2008</v>
      </c>
      <c r="Q637" t="s">
        <v>1319</v>
      </c>
      <c r="R637" t="s">
        <v>1312</v>
      </c>
      <c r="S637" t="s">
        <v>1325</v>
      </c>
      <c r="T637" t="str">
        <f>CONCATENATE(Table1[[#This Row],[Name]]," ",Table1[[#This Row],[Surname/Studio Name/Artistic Name]])</f>
        <v>Diana Thater</v>
      </c>
    </row>
    <row r="638" spans="1:20" x14ac:dyDescent="0.35">
      <c r="A638">
        <v>637</v>
      </c>
      <c r="B638" t="s">
        <v>1187</v>
      </c>
      <c r="C638" t="s">
        <v>1188</v>
      </c>
      <c r="D638" t="s">
        <v>211</v>
      </c>
      <c r="E638" t="s">
        <v>1916</v>
      </c>
      <c r="F638" t="s">
        <v>20</v>
      </c>
      <c r="G638" t="s">
        <v>1916</v>
      </c>
      <c r="H638" t="s">
        <v>26</v>
      </c>
      <c r="I638" t="s">
        <v>22</v>
      </c>
      <c r="J638">
        <v>1985</v>
      </c>
      <c r="K638">
        <f>2026-Table1[[#This Row],[Birthyear]]</f>
        <v>41</v>
      </c>
      <c r="L638" t="s">
        <v>1315</v>
      </c>
      <c r="M638" t="s">
        <v>1315</v>
      </c>
      <c r="N638" t="s">
        <v>1291</v>
      </c>
      <c r="S638" t="s">
        <v>1364</v>
      </c>
      <c r="T638" t="str">
        <f>CONCATENATE(Table1[[#This Row],[Name]]," ",Table1[[#This Row],[Surname/Studio Name/Artistic Name]])</f>
        <v>Tomislav Topic</v>
      </c>
    </row>
    <row r="639" spans="1:20" x14ac:dyDescent="0.35">
      <c r="A639">
        <v>638</v>
      </c>
      <c r="B639" t="s">
        <v>1189</v>
      </c>
      <c r="C639" t="s">
        <v>1190</v>
      </c>
      <c r="D639" t="s">
        <v>29</v>
      </c>
      <c r="E639" t="s">
        <v>1916</v>
      </c>
      <c r="F639" t="s">
        <v>20</v>
      </c>
      <c r="G639" t="s">
        <v>1916</v>
      </c>
      <c r="H639" t="s">
        <v>21</v>
      </c>
      <c r="I639" t="s">
        <v>22</v>
      </c>
      <c r="J639">
        <v>1996</v>
      </c>
      <c r="K639">
        <f>2026-Table1[[#This Row],[Birthyear]]</f>
        <v>30</v>
      </c>
      <c r="L639" t="s">
        <v>1410</v>
      </c>
      <c r="M639" t="s">
        <v>1410</v>
      </c>
      <c r="N639" t="s">
        <v>1291</v>
      </c>
      <c r="S639" t="s">
        <v>1336</v>
      </c>
      <c r="T639" t="str">
        <f>CONCATENATE(Table1[[#This Row],[Name]]," ",Table1[[#This Row],[Surname/Studio Name/Artistic Name]])</f>
        <v>Maryam Traiq (Golden Ration)</v>
      </c>
    </row>
    <row r="640" spans="1:20" x14ac:dyDescent="0.35">
      <c r="A640">
        <v>639</v>
      </c>
      <c r="B640" t="s">
        <v>1191</v>
      </c>
      <c r="C640" t="s">
        <v>468</v>
      </c>
      <c r="D640" t="s">
        <v>47</v>
      </c>
      <c r="E640" t="s">
        <v>1916</v>
      </c>
      <c r="F640" t="s">
        <v>25</v>
      </c>
      <c r="G640" t="s">
        <v>1916</v>
      </c>
      <c r="H640" t="s">
        <v>26</v>
      </c>
      <c r="J640">
        <v>1987</v>
      </c>
      <c r="K640">
        <f>2026-Table1[[#This Row],[Birthyear]]</f>
        <v>39</v>
      </c>
      <c r="L640" t="s">
        <v>1293</v>
      </c>
      <c r="M640" t="s">
        <v>1293</v>
      </c>
      <c r="N640" t="s">
        <v>1294</v>
      </c>
      <c r="T640" t="str">
        <f>CONCATENATE(Table1[[#This Row],[Name]]," ",Table1[[#This Row],[Surname/Studio Name/Artistic Name]])</f>
        <v>Edoardo Tresoldi</v>
      </c>
    </row>
    <row r="641" spans="1:20" x14ac:dyDescent="0.35">
      <c r="A641">
        <v>640</v>
      </c>
      <c r="B641" t="s">
        <v>1192</v>
      </c>
      <c r="C641" t="s">
        <v>1193</v>
      </c>
      <c r="D641" t="s">
        <v>290</v>
      </c>
      <c r="E641" t="s">
        <v>1916</v>
      </c>
      <c r="F641" t="s">
        <v>20</v>
      </c>
      <c r="G641" t="s">
        <v>1916</v>
      </c>
      <c r="H641" t="s">
        <v>21</v>
      </c>
      <c r="J641">
        <v>1978</v>
      </c>
      <c r="K641">
        <f>2026-Table1[[#This Row],[Birthyear]]</f>
        <v>48</v>
      </c>
      <c r="L641" t="s">
        <v>1290</v>
      </c>
      <c r="M641" t="s">
        <v>1290</v>
      </c>
      <c r="N641" t="s">
        <v>1291</v>
      </c>
      <c r="S641" t="s">
        <v>1452</v>
      </c>
      <c r="T641" t="str">
        <f>CONCATENATE(Table1[[#This Row],[Name]]," ",Table1[[#This Row],[Surname/Studio Name/Artistic Name]])</f>
        <v>Leila Tschopp</v>
      </c>
    </row>
    <row r="642" spans="1:20" x14ac:dyDescent="0.35">
      <c r="A642">
        <v>641</v>
      </c>
      <c r="B642" t="s">
        <v>1194</v>
      </c>
      <c r="C642" t="s">
        <v>213</v>
      </c>
      <c r="D642" t="s">
        <v>1891</v>
      </c>
      <c r="E642" t="s">
        <v>1916</v>
      </c>
      <c r="F642" t="s">
        <v>20</v>
      </c>
      <c r="G642" t="s">
        <v>1916</v>
      </c>
      <c r="H642" t="s">
        <v>26</v>
      </c>
      <c r="J642">
        <v>1975</v>
      </c>
      <c r="K642">
        <f>2026-Table1[[#This Row],[Birthyear]]</f>
        <v>51</v>
      </c>
      <c r="L642" t="s">
        <v>1900</v>
      </c>
      <c r="M642" t="s">
        <v>1317</v>
      </c>
      <c r="N642" t="s">
        <v>1296</v>
      </c>
      <c r="O642" t="s">
        <v>1839</v>
      </c>
      <c r="P642">
        <v>2023</v>
      </c>
      <c r="Q642" t="s">
        <v>1302</v>
      </c>
      <c r="R642" t="s">
        <v>1382</v>
      </c>
      <c r="S642" t="s">
        <v>1341</v>
      </c>
      <c r="T642" t="str">
        <f>CONCATENATE(Table1[[#This Row],[Name]]," ",Table1[[#This Row],[Surname/Studio Name/Artistic Name]])</f>
        <v>Oscar Tuazon ​</v>
      </c>
    </row>
    <row r="643" spans="1:20" x14ac:dyDescent="0.35">
      <c r="A643">
        <v>642</v>
      </c>
      <c r="B643" t="s">
        <v>1195</v>
      </c>
      <c r="C643" t="s">
        <v>1196</v>
      </c>
      <c r="D643" t="s">
        <v>1901</v>
      </c>
      <c r="E643" t="s">
        <v>1916</v>
      </c>
      <c r="F643" t="s">
        <v>20</v>
      </c>
      <c r="G643" t="s">
        <v>1916</v>
      </c>
      <c r="H643" t="s">
        <v>26</v>
      </c>
      <c r="I643" t="s">
        <v>22</v>
      </c>
      <c r="J643">
        <v>1935</v>
      </c>
      <c r="K643">
        <f>2026-Table1[[#This Row],[Birthyear]]</f>
        <v>91</v>
      </c>
      <c r="L643" t="s">
        <v>1290</v>
      </c>
      <c r="M643" t="s">
        <v>1290</v>
      </c>
      <c r="N643" t="s">
        <v>1291</v>
      </c>
      <c r="S643" t="s">
        <v>1422</v>
      </c>
      <c r="T643" t="str">
        <f>CONCATENATE(Table1[[#This Row],[Name]]," ",Table1[[#This Row],[Surname/Studio Name/Artistic Name]])</f>
        <v>William Tucker</v>
      </c>
    </row>
    <row r="644" spans="1:20" x14ac:dyDescent="0.35">
      <c r="A644">
        <v>643</v>
      </c>
      <c r="B644" t="s">
        <v>1197</v>
      </c>
      <c r="C644" t="s">
        <v>1198</v>
      </c>
      <c r="D644" t="s">
        <v>1891</v>
      </c>
      <c r="E644" t="s">
        <v>1916</v>
      </c>
      <c r="F644" t="s">
        <v>20</v>
      </c>
      <c r="G644" t="s">
        <v>1916</v>
      </c>
      <c r="H644" t="s">
        <v>26</v>
      </c>
      <c r="J644">
        <v>1943</v>
      </c>
      <c r="K644">
        <f>2026-Table1[[#This Row],[Birthyear]]</f>
        <v>83</v>
      </c>
      <c r="L644" t="s">
        <v>1900</v>
      </c>
      <c r="M644" t="s">
        <v>1310</v>
      </c>
      <c r="N644" t="s">
        <v>1296</v>
      </c>
      <c r="O644" t="s">
        <v>1840</v>
      </c>
      <c r="P644">
        <v>1967</v>
      </c>
      <c r="Q644" t="s">
        <v>1302</v>
      </c>
      <c r="R644" t="s">
        <v>1312</v>
      </c>
      <c r="S644" t="s">
        <v>1313</v>
      </c>
      <c r="T644" t="str">
        <f>CONCATENATE(Table1[[#This Row],[Name]]," ",Table1[[#This Row],[Surname/Studio Name/Artistic Name]])</f>
        <v>James Turrel</v>
      </c>
    </row>
    <row r="645" spans="1:20" x14ac:dyDescent="0.35">
      <c r="A645">
        <v>644</v>
      </c>
      <c r="B645" t="s">
        <v>1199</v>
      </c>
      <c r="C645" t="s">
        <v>1200</v>
      </c>
      <c r="D645" t="s">
        <v>47</v>
      </c>
      <c r="E645" t="s">
        <v>1916</v>
      </c>
      <c r="F645" t="s">
        <v>20</v>
      </c>
      <c r="G645" t="s">
        <v>1916</v>
      </c>
      <c r="H645" t="s">
        <v>26</v>
      </c>
      <c r="I645" t="s">
        <v>22</v>
      </c>
      <c r="J645">
        <v>1974</v>
      </c>
      <c r="K645">
        <f>2026-Table1[[#This Row],[Birthyear]]</f>
        <v>52</v>
      </c>
      <c r="L645" t="s">
        <v>1315</v>
      </c>
      <c r="M645" t="s">
        <v>1315</v>
      </c>
      <c r="N645" t="s">
        <v>1291</v>
      </c>
      <c r="S645" t="s">
        <v>1533</v>
      </c>
      <c r="T645" t="str">
        <f>CONCATENATE(Table1[[#This Row],[Name]]," ",Table1[[#This Row],[Surname/Studio Name/Artistic Name]])</f>
        <v>Patrick Tuttofuoco</v>
      </c>
    </row>
    <row r="646" spans="1:20" x14ac:dyDescent="0.35">
      <c r="A646">
        <v>645</v>
      </c>
      <c r="B646" t="s">
        <v>1201</v>
      </c>
      <c r="C646" t="s">
        <v>915</v>
      </c>
      <c r="D646" t="s">
        <v>447</v>
      </c>
      <c r="E646" t="s">
        <v>1916</v>
      </c>
      <c r="F646" t="s">
        <v>25</v>
      </c>
      <c r="G646" t="s">
        <v>1916</v>
      </c>
      <c r="H646" t="s">
        <v>26</v>
      </c>
      <c r="I646" t="s">
        <v>22</v>
      </c>
      <c r="J646">
        <v>1960</v>
      </c>
      <c r="K646">
        <f>2026-Table1[[#This Row],[Birthyear]]</f>
        <v>66</v>
      </c>
      <c r="L646" t="s">
        <v>1290</v>
      </c>
      <c r="M646" t="s">
        <v>1290</v>
      </c>
      <c r="N646" t="s">
        <v>1291</v>
      </c>
      <c r="S646" t="s">
        <v>1841</v>
      </c>
      <c r="T646" t="str">
        <f>CONCATENATE(Table1[[#This Row],[Name]]," ",Table1[[#This Row],[Surname/Studio Name/Artistic Name]])</f>
        <v>Yves Ullens</v>
      </c>
    </row>
    <row r="647" spans="1:20" x14ac:dyDescent="0.35">
      <c r="A647">
        <v>646</v>
      </c>
      <c r="B647" t="s">
        <v>1202</v>
      </c>
      <c r="C647" t="s">
        <v>1203</v>
      </c>
      <c r="D647" t="s">
        <v>209</v>
      </c>
      <c r="E647" t="s">
        <v>1916</v>
      </c>
      <c r="F647" t="s">
        <v>20</v>
      </c>
      <c r="G647" t="s">
        <v>1916</v>
      </c>
      <c r="H647" t="s">
        <v>26</v>
      </c>
      <c r="J647">
        <v>1942</v>
      </c>
      <c r="K647">
        <f>2026-Table1[[#This Row],[Birthyear]]</f>
        <v>84</v>
      </c>
      <c r="L647" t="s">
        <v>1315</v>
      </c>
      <c r="M647" t="s">
        <v>1315</v>
      </c>
      <c r="N647" t="s">
        <v>1291</v>
      </c>
      <c r="S647" t="s">
        <v>1316</v>
      </c>
      <c r="T647" t="str">
        <f>CONCATENATE(Table1[[#This Row],[Name]]," ",Table1[[#This Row],[Surname/Studio Name/Artistic Name]])</f>
        <v>Manolo Valdés</v>
      </c>
    </row>
    <row r="648" spans="1:20" x14ac:dyDescent="0.35">
      <c r="A648">
        <v>647</v>
      </c>
      <c r="B648" t="s">
        <v>1204</v>
      </c>
      <c r="C648" t="s">
        <v>1205</v>
      </c>
      <c r="D648" t="s">
        <v>1904</v>
      </c>
      <c r="E648" t="s">
        <v>1916</v>
      </c>
      <c r="F648" t="s">
        <v>20</v>
      </c>
      <c r="G648" t="s">
        <v>1916</v>
      </c>
      <c r="H648" t="s">
        <v>26</v>
      </c>
      <c r="J648">
        <v>1970</v>
      </c>
      <c r="K648">
        <f>2026-Table1[[#This Row],[Birthyear]]</f>
        <v>56</v>
      </c>
      <c r="L648" t="s">
        <v>1900</v>
      </c>
      <c r="M648" t="s">
        <v>1295</v>
      </c>
      <c r="N648" t="s">
        <v>1296</v>
      </c>
      <c r="O648" t="s">
        <v>1842</v>
      </c>
      <c r="P648">
        <v>2025</v>
      </c>
      <c r="Q648" t="s">
        <v>1843</v>
      </c>
      <c r="R648" t="s">
        <v>1299</v>
      </c>
      <c r="T648" t="str">
        <f>CONCATENATE(Table1[[#This Row],[Name]]," ",Table1[[#This Row],[Surname/Studio Name/Artistic Name]])</f>
        <v>Edwin van der Heide</v>
      </c>
    </row>
    <row r="649" spans="1:20" x14ac:dyDescent="0.35">
      <c r="A649">
        <v>648</v>
      </c>
      <c r="B649" t="s">
        <v>1206</v>
      </c>
      <c r="C649" t="s">
        <v>1207</v>
      </c>
      <c r="D649" t="s">
        <v>447</v>
      </c>
      <c r="E649" t="s">
        <v>1916</v>
      </c>
      <c r="F649" t="s">
        <v>20</v>
      </c>
      <c r="G649" t="s">
        <v>1916</v>
      </c>
      <c r="H649" t="s">
        <v>21</v>
      </c>
      <c r="I649" t="s">
        <v>22</v>
      </c>
      <c r="J649">
        <v>1969</v>
      </c>
      <c r="K649">
        <f>2026-Table1[[#This Row],[Birthyear]]</f>
        <v>57</v>
      </c>
      <c r="L649" t="s">
        <v>1290</v>
      </c>
      <c r="M649" t="s">
        <v>1290</v>
      </c>
      <c r="N649" t="s">
        <v>1291</v>
      </c>
      <c r="S649" t="s">
        <v>1468</v>
      </c>
      <c r="T649" t="str">
        <f>CONCATENATE(Table1[[#This Row],[Name]]," ",Table1[[#This Row],[Surname/Studio Name/Artistic Name]])</f>
        <v>Myriam Van Imschoot</v>
      </c>
    </row>
    <row r="650" spans="1:20" x14ac:dyDescent="0.35">
      <c r="A650">
        <v>649</v>
      </c>
      <c r="B650" t="s">
        <v>1208</v>
      </c>
      <c r="C650" t="s">
        <v>1209</v>
      </c>
      <c r="D650" t="s">
        <v>1904</v>
      </c>
      <c r="E650" t="s">
        <v>1916</v>
      </c>
      <c r="F650" t="s">
        <v>20</v>
      </c>
      <c r="G650" t="s">
        <v>1916</v>
      </c>
      <c r="H650" t="s">
        <v>21</v>
      </c>
      <c r="J650">
        <v>1955</v>
      </c>
      <c r="K650">
        <f>2026-Table1[[#This Row],[Birthyear]]</f>
        <v>71</v>
      </c>
      <c r="L650" t="s">
        <v>1914</v>
      </c>
      <c r="M650" t="s">
        <v>1345</v>
      </c>
      <c r="N650" t="s">
        <v>1296</v>
      </c>
      <c r="O650" t="s">
        <v>1844</v>
      </c>
      <c r="P650">
        <v>2021</v>
      </c>
      <c r="Q650" t="s">
        <v>1344</v>
      </c>
      <c r="R650" t="s">
        <v>1299</v>
      </c>
      <c r="T650" t="str">
        <f>CONCATENATE(Table1[[#This Row],[Name]]," ",Table1[[#This Row],[Surname/Studio Name/Artistic Name]])</f>
        <v>Karin Van Ommeren</v>
      </c>
    </row>
    <row r="651" spans="1:20" x14ac:dyDescent="0.35">
      <c r="A651">
        <v>650</v>
      </c>
      <c r="B651" t="s">
        <v>1210</v>
      </c>
      <c r="C651" t="s">
        <v>1211</v>
      </c>
      <c r="D651" t="s">
        <v>417</v>
      </c>
      <c r="E651" t="s">
        <v>1916</v>
      </c>
      <c r="F651" t="s">
        <v>20</v>
      </c>
      <c r="G651" t="s">
        <v>1916</v>
      </c>
      <c r="H651" t="s">
        <v>26</v>
      </c>
      <c r="I651" t="s">
        <v>22</v>
      </c>
      <c r="J651">
        <v>1952</v>
      </c>
      <c r="K651">
        <f>2026-Table1[[#This Row],[Birthyear]]</f>
        <v>74</v>
      </c>
      <c r="L651" t="s">
        <v>1290</v>
      </c>
      <c r="M651" t="s">
        <v>1290</v>
      </c>
      <c r="N651" t="s">
        <v>1291</v>
      </c>
      <c r="S651" t="s">
        <v>1422</v>
      </c>
      <c r="T651" t="str">
        <f>CONCATENATE(Table1[[#This Row],[Name]]," ",Table1[[#This Row],[Surname/Studio Name/Artistic Name]])</f>
        <v>Felice Varini</v>
      </c>
    </row>
    <row r="652" spans="1:20" x14ac:dyDescent="0.35">
      <c r="A652">
        <v>651</v>
      </c>
      <c r="B652" t="s">
        <v>1212</v>
      </c>
      <c r="C652" t="s">
        <v>1213</v>
      </c>
      <c r="D652" t="s">
        <v>827</v>
      </c>
      <c r="E652" t="s">
        <v>1916</v>
      </c>
      <c r="F652" t="s">
        <v>25</v>
      </c>
      <c r="G652" t="s">
        <v>1916</v>
      </c>
      <c r="H652" t="s">
        <v>26</v>
      </c>
      <c r="I652" t="s">
        <v>22</v>
      </c>
      <c r="J652">
        <v>1955</v>
      </c>
      <c r="K652">
        <f>2026-Table1[[#This Row],[Birthyear]]</f>
        <v>71</v>
      </c>
      <c r="L652" t="s">
        <v>1910</v>
      </c>
      <c r="M652" t="s">
        <v>1406</v>
      </c>
      <c r="N652" t="s">
        <v>1291</v>
      </c>
      <c r="T652" t="str">
        <f>CONCATENATE(Table1[[#This Row],[Name]]," ",Table1[[#This Row],[Surname/Studio Name/Artistic Name]])</f>
        <v>Costas Varotsos</v>
      </c>
    </row>
    <row r="653" spans="1:20" x14ac:dyDescent="0.35">
      <c r="A653">
        <v>652</v>
      </c>
      <c r="B653" t="s">
        <v>1214</v>
      </c>
      <c r="C653" t="s">
        <v>1215</v>
      </c>
      <c r="D653" t="s">
        <v>348</v>
      </c>
      <c r="E653" t="s">
        <v>1916</v>
      </c>
      <c r="F653" t="s">
        <v>20</v>
      </c>
      <c r="G653" t="s">
        <v>1916</v>
      </c>
      <c r="H653" t="s">
        <v>21</v>
      </c>
      <c r="I653" t="s">
        <v>22</v>
      </c>
      <c r="J653">
        <v>1971</v>
      </c>
      <c r="K653">
        <f>2026-Table1[[#This Row],[Birthyear]]</f>
        <v>55</v>
      </c>
      <c r="L653" t="s">
        <v>1290</v>
      </c>
      <c r="M653" t="s">
        <v>1290</v>
      </c>
      <c r="N653" t="s">
        <v>1291</v>
      </c>
      <c r="S653" t="s">
        <v>1422</v>
      </c>
      <c r="T653" t="str">
        <f>CONCATENATE(Table1[[#This Row],[Name]]," ",Table1[[#This Row],[Surname/Studio Name/Artistic Name]])</f>
        <v>Joana Vasconcelos</v>
      </c>
    </row>
    <row r="654" spans="1:20" x14ac:dyDescent="0.35">
      <c r="A654">
        <v>653</v>
      </c>
      <c r="B654" t="s">
        <v>1216</v>
      </c>
      <c r="C654" t="s">
        <v>1217</v>
      </c>
      <c r="D654" t="s">
        <v>827</v>
      </c>
      <c r="E654" t="s">
        <v>1916</v>
      </c>
      <c r="F654" t="s">
        <v>20</v>
      </c>
      <c r="G654" t="s">
        <v>1916</v>
      </c>
      <c r="H654" t="s">
        <v>26</v>
      </c>
      <c r="J654">
        <v>1964</v>
      </c>
      <c r="K654">
        <f>2026-Table1[[#This Row],[Birthyear]]</f>
        <v>62</v>
      </c>
      <c r="L654" t="s">
        <v>1914</v>
      </c>
      <c r="M654" t="s">
        <v>1326</v>
      </c>
      <c r="N654" t="s">
        <v>1327</v>
      </c>
      <c r="T654" t="str">
        <f>CONCATENATE(Table1[[#This Row],[Name]]," ",Table1[[#This Row],[Surname/Studio Name/Artistic Name]])</f>
        <v>Vasilis Vasili</v>
      </c>
    </row>
    <row r="655" spans="1:20" x14ac:dyDescent="0.35">
      <c r="A655">
        <v>654</v>
      </c>
      <c r="B655" t="s">
        <v>1218</v>
      </c>
      <c r="C655" t="s">
        <v>1219</v>
      </c>
      <c r="D655" t="s">
        <v>1905</v>
      </c>
      <c r="E655" t="s">
        <v>1916</v>
      </c>
      <c r="F655" t="s">
        <v>20</v>
      </c>
      <c r="G655" t="s">
        <v>1916</v>
      </c>
      <c r="H655" t="s">
        <v>26</v>
      </c>
      <c r="J655">
        <v>1979</v>
      </c>
      <c r="K655">
        <f>2026-Table1[[#This Row],[Birthyear]]</f>
        <v>47</v>
      </c>
      <c r="L655" t="s">
        <v>1315</v>
      </c>
      <c r="M655" t="s">
        <v>1315</v>
      </c>
      <c r="N655" t="s">
        <v>1291</v>
      </c>
      <c r="S655" t="s">
        <v>1331</v>
      </c>
      <c r="T655" t="str">
        <f>CONCATENATE(Table1[[#This Row],[Name]]," ",Table1[[#This Row],[Surname/Studio Name/Artistic Name]])</f>
        <v>Alejandro Vega</v>
      </c>
    </row>
    <row r="656" spans="1:20" x14ac:dyDescent="0.35">
      <c r="A656">
        <v>655</v>
      </c>
      <c r="B656" t="s">
        <v>1220</v>
      </c>
      <c r="C656" t="s">
        <v>1221</v>
      </c>
      <c r="D656" t="s">
        <v>300</v>
      </c>
      <c r="E656" t="s">
        <v>1916</v>
      </c>
      <c r="F656" t="s">
        <v>25</v>
      </c>
      <c r="G656" t="s">
        <v>1916</v>
      </c>
      <c r="H656" t="s">
        <v>26</v>
      </c>
      <c r="I656" t="s">
        <v>22</v>
      </c>
      <c r="J656">
        <v>1941</v>
      </c>
      <c r="K656">
        <f>2026-Table1[[#This Row],[Birthyear]]</f>
        <v>85</v>
      </c>
      <c r="L656" t="s">
        <v>1293</v>
      </c>
      <c r="M656" t="s">
        <v>1293</v>
      </c>
      <c r="N656" t="s">
        <v>1296</v>
      </c>
      <c r="O656" t="s">
        <v>1845</v>
      </c>
      <c r="Q656" t="s">
        <v>1298</v>
      </c>
      <c r="R656" t="s">
        <v>1846</v>
      </c>
      <c r="S656" t="s">
        <v>1436</v>
      </c>
      <c r="T656" t="str">
        <f>CONCATENATE(Table1[[#This Row],[Name]]," ",Table1[[#This Row],[Surname/Studio Name/Artistic Name]])</f>
        <v>Bernar Venet</v>
      </c>
    </row>
    <row r="657" spans="1:20" x14ac:dyDescent="0.35">
      <c r="A657">
        <v>656</v>
      </c>
      <c r="B657" t="s">
        <v>1222</v>
      </c>
      <c r="C657" t="s">
        <v>970</v>
      </c>
      <c r="D657" t="s">
        <v>389</v>
      </c>
      <c r="E657" t="s">
        <v>1916</v>
      </c>
      <c r="F657" t="s">
        <v>20</v>
      </c>
      <c r="G657" t="s">
        <v>1916</v>
      </c>
      <c r="H657" t="s">
        <v>26</v>
      </c>
      <c r="J657">
        <v>1976</v>
      </c>
      <c r="K657">
        <f>2026-Table1[[#This Row],[Birthyear]]</f>
        <v>50</v>
      </c>
      <c r="L657" t="s">
        <v>1914</v>
      </c>
      <c r="M657" t="s">
        <v>1396</v>
      </c>
      <c r="N657" t="s">
        <v>1296</v>
      </c>
      <c r="O657" t="s">
        <v>1847</v>
      </c>
      <c r="P657">
        <v>2020</v>
      </c>
      <c r="Q657" t="s">
        <v>1344</v>
      </c>
      <c r="T657" t="str">
        <f>CONCATENATE(Table1[[#This Row],[Name]]," ",Table1[[#This Row],[Surname/Studio Name/Artistic Name]])</f>
        <v>Petre Vergiliu</v>
      </c>
    </row>
    <row r="658" spans="1:20" x14ac:dyDescent="0.35">
      <c r="A658">
        <v>657</v>
      </c>
      <c r="B658" t="s">
        <v>1223</v>
      </c>
      <c r="C658" t="s">
        <v>1224</v>
      </c>
      <c r="D658" t="s">
        <v>447</v>
      </c>
      <c r="E658" t="s">
        <v>1916</v>
      </c>
      <c r="F658" t="s">
        <v>25</v>
      </c>
      <c r="G658" t="s">
        <v>1916</v>
      </c>
      <c r="H658" t="s">
        <v>26</v>
      </c>
      <c r="J658">
        <v>1967</v>
      </c>
      <c r="K658">
        <f>2026-Table1[[#This Row],[Birthyear]]</f>
        <v>59</v>
      </c>
      <c r="L658" t="s">
        <v>1588</v>
      </c>
      <c r="M658" t="s">
        <v>1588</v>
      </c>
      <c r="N658" t="s">
        <v>1296</v>
      </c>
      <c r="O658" t="s">
        <v>1848</v>
      </c>
      <c r="P658">
        <v>2021</v>
      </c>
      <c r="Q658" t="s">
        <v>1302</v>
      </c>
      <c r="R658" t="s">
        <v>1849</v>
      </c>
      <c r="S658" t="s">
        <v>1850</v>
      </c>
      <c r="T658" t="str">
        <f>CONCATENATE(Table1[[#This Row],[Name]]," ",Table1[[#This Row],[Surname/Studio Name/Artistic Name]])</f>
        <v>Koert Vermeulen</v>
      </c>
    </row>
    <row r="659" spans="1:20" x14ac:dyDescent="0.35">
      <c r="A659">
        <v>658</v>
      </c>
      <c r="B659" t="s">
        <v>1225</v>
      </c>
      <c r="C659" t="s">
        <v>1226</v>
      </c>
      <c r="D659" t="s">
        <v>1904</v>
      </c>
      <c r="E659" t="s">
        <v>1916</v>
      </c>
      <c r="F659" t="s">
        <v>20</v>
      </c>
      <c r="G659" t="s">
        <v>1916</v>
      </c>
      <c r="H659" t="s">
        <v>26</v>
      </c>
      <c r="J659">
        <v>1984</v>
      </c>
      <c r="K659">
        <f>2026-Table1[[#This Row],[Birthyear]]</f>
        <v>42</v>
      </c>
      <c r="L659" t="s">
        <v>1900</v>
      </c>
      <c r="M659" t="s">
        <v>1322</v>
      </c>
      <c r="N659" t="s">
        <v>1296</v>
      </c>
      <c r="O659" t="s">
        <v>1851</v>
      </c>
      <c r="P659">
        <v>2017</v>
      </c>
      <c r="Q659" t="s">
        <v>1820</v>
      </c>
      <c r="R659" t="s">
        <v>1312</v>
      </c>
      <c r="T659" t="str">
        <f>CONCATENATE(Table1[[#This Row],[Name]]," ",Table1[[#This Row],[Surname/Studio Name/Artistic Name]])</f>
        <v>Nick Verstand</v>
      </c>
    </row>
    <row r="660" spans="1:20" x14ac:dyDescent="0.35">
      <c r="A660">
        <v>659</v>
      </c>
      <c r="B660" t="s">
        <v>1227</v>
      </c>
      <c r="C660" t="s">
        <v>795</v>
      </c>
      <c r="D660" t="s">
        <v>209</v>
      </c>
      <c r="E660" t="s">
        <v>1916</v>
      </c>
      <c r="F660" t="s">
        <v>20</v>
      </c>
      <c r="G660" t="s">
        <v>1916</v>
      </c>
      <c r="H660" t="s">
        <v>26</v>
      </c>
      <c r="J660">
        <v>1972</v>
      </c>
      <c r="K660">
        <f>2026-Table1[[#This Row],[Birthyear]]</f>
        <v>54</v>
      </c>
      <c r="L660" t="s">
        <v>1914</v>
      </c>
      <c r="M660" t="s">
        <v>1345</v>
      </c>
      <c r="N660" t="s">
        <v>1309</v>
      </c>
      <c r="T660" t="str">
        <f>CONCATENATE(Table1[[#This Row],[Name]]," ",Table1[[#This Row],[Surname/Studio Name/Artistic Name]])</f>
        <v>Antonio Vigo</v>
      </c>
    </row>
    <row r="661" spans="1:20" x14ac:dyDescent="0.35">
      <c r="A661">
        <v>660</v>
      </c>
      <c r="B661" t="s">
        <v>1228</v>
      </c>
      <c r="C661" t="s">
        <v>1229</v>
      </c>
      <c r="D661" t="s">
        <v>290</v>
      </c>
      <c r="E661" t="s">
        <v>1916</v>
      </c>
      <c r="F661" t="s">
        <v>20</v>
      </c>
      <c r="G661" t="s">
        <v>1916</v>
      </c>
      <c r="H661" t="s">
        <v>21</v>
      </c>
      <c r="I661" t="s">
        <v>22</v>
      </c>
      <c r="J661">
        <v>1972</v>
      </c>
      <c r="K661">
        <f>2026-Table1[[#This Row],[Birthyear]]</f>
        <v>54</v>
      </c>
      <c r="L661" t="s">
        <v>1290</v>
      </c>
      <c r="M661" t="s">
        <v>1290</v>
      </c>
      <c r="N661" t="s">
        <v>1291</v>
      </c>
      <c r="S661" t="s">
        <v>1563</v>
      </c>
      <c r="T661" t="str">
        <f>CONCATENATE(Table1[[#This Row],[Name]]," ",Table1[[#This Row],[Surname/Studio Name/Artistic Name]])</f>
        <v>Mariana Villafrañe</v>
      </c>
    </row>
    <row r="662" spans="1:20" x14ac:dyDescent="0.35">
      <c r="A662">
        <v>661</v>
      </c>
      <c r="B662" t="s">
        <v>1230</v>
      </c>
      <c r="C662" t="s">
        <v>1231</v>
      </c>
      <c r="D662" t="s">
        <v>1891</v>
      </c>
      <c r="E662" t="s">
        <v>1916</v>
      </c>
      <c r="F662" t="s">
        <v>20</v>
      </c>
      <c r="G662" t="s">
        <v>1916</v>
      </c>
      <c r="H662" t="s">
        <v>26</v>
      </c>
      <c r="I662" t="s">
        <v>22</v>
      </c>
      <c r="J662">
        <v>1967</v>
      </c>
      <c r="K662">
        <f>2026-Table1[[#This Row],[Birthyear]]</f>
        <v>59</v>
      </c>
      <c r="L662" t="s">
        <v>1900</v>
      </c>
      <c r="M662" t="s">
        <v>1310</v>
      </c>
      <c r="N662" t="s">
        <v>1296</v>
      </c>
      <c r="O662" t="s">
        <v>1852</v>
      </c>
      <c r="P662">
        <v>2018</v>
      </c>
      <c r="Q662" t="s">
        <v>1547</v>
      </c>
      <c r="R662" t="s">
        <v>1312</v>
      </c>
      <c r="S662" t="s">
        <v>1313</v>
      </c>
      <c r="T662" t="str">
        <f>CONCATENATE(Table1[[#This Row],[Name]]," ",Table1[[#This Row],[Surname/Studio Name/Artistic Name]])</f>
        <v>Leo Villareal</v>
      </c>
    </row>
    <row r="663" spans="1:20" x14ac:dyDescent="0.35">
      <c r="A663">
        <v>662</v>
      </c>
      <c r="B663" t="s">
        <v>1232</v>
      </c>
      <c r="C663" t="s">
        <v>1233</v>
      </c>
      <c r="D663" t="s">
        <v>47</v>
      </c>
      <c r="E663" t="s">
        <v>1916</v>
      </c>
      <c r="F663" t="s">
        <v>20</v>
      </c>
      <c r="G663" t="s">
        <v>1916</v>
      </c>
      <c r="H663" t="s">
        <v>21</v>
      </c>
      <c r="J663">
        <v>1977</v>
      </c>
      <c r="K663">
        <f>2026-Table1[[#This Row],[Birthyear]]</f>
        <v>49</v>
      </c>
      <c r="L663" t="s">
        <v>1914</v>
      </c>
      <c r="M663" t="s">
        <v>1326</v>
      </c>
      <c r="N663" t="s">
        <v>1327</v>
      </c>
      <c r="T663" t="str">
        <f>CONCATENATE(Table1[[#This Row],[Name]]," ",Table1[[#This Row],[Surname/Studio Name/Artistic Name]])</f>
        <v>Valeria Vituli</v>
      </c>
    </row>
    <row r="664" spans="1:20" x14ac:dyDescent="0.35">
      <c r="A664">
        <v>663</v>
      </c>
      <c r="B664" t="s">
        <v>1234</v>
      </c>
      <c r="C664" t="s">
        <v>1235</v>
      </c>
      <c r="D664" t="s">
        <v>47</v>
      </c>
      <c r="E664" t="s">
        <v>1916</v>
      </c>
      <c r="F664" t="s">
        <v>20</v>
      </c>
      <c r="G664" t="s">
        <v>1916</v>
      </c>
      <c r="H664" t="s">
        <v>26</v>
      </c>
      <c r="J664">
        <v>1971</v>
      </c>
      <c r="K664">
        <f>2026-Table1[[#This Row],[Birthyear]]</f>
        <v>55</v>
      </c>
      <c r="L664" t="s">
        <v>1900</v>
      </c>
      <c r="M664" t="s">
        <v>1300</v>
      </c>
      <c r="N664" t="s">
        <v>1296</v>
      </c>
      <c r="O664" t="s">
        <v>1853</v>
      </c>
      <c r="P664">
        <v>2022</v>
      </c>
      <c r="Q664" t="s">
        <v>1350</v>
      </c>
      <c r="R664" t="s">
        <v>1355</v>
      </c>
      <c r="T664" t="str">
        <f>CONCATENATE(Table1[[#This Row],[Name]]," ",Table1[[#This Row],[Surname/Studio Name/Artistic Name]])</f>
        <v>Fabio Volpi (dies_)</v>
      </c>
    </row>
    <row r="665" spans="1:20" x14ac:dyDescent="0.35">
      <c r="A665">
        <v>664</v>
      </c>
      <c r="B665" t="s">
        <v>1236</v>
      </c>
      <c r="C665" t="s">
        <v>1237</v>
      </c>
      <c r="D665" t="s">
        <v>211</v>
      </c>
      <c r="E665" t="s">
        <v>1916</v>
      </c>
      <c r="F665" t="s">
        <v>20</v>
      </c>
      <c r="G665" t="s">
        <v>1916</v>
      </c>
      <c r="H665" t="s">
        <v>26</v>
      </c>
      <c r="J665">
        <v>1983</v>
      </c>
      <c r="K665">
        <f>2026-Table1[[#This Row],[Birthyear]]</f>
        <v>43</v>
      </c>
      <c r="L665" t="s">
        <v>1900</v>
      </c>
      <c r="M665" t="s">
        <v>1317</v>
      </c>
      <c r="N665" t="s">
        <v>1296</v>
      </c>
      <c r="O665" t="s">
        <v>1854</v>
      </c>
      <c r="P665">
        <v>2023</v>
      </c>
      <c r="Q665" t="s">
        <v>1319</v>
      </c>
      <c r="R665" t="s">
        <v>1392</v>
      </c>
      <c r="S665" t="s">
        <v>1341</v>
      </c>
      <c r="T665" t="str">
        <f>CONCATENATE(Table1[[#This Row],[Name]]," ",Table1[[#This Row],[Surname/Studio Name/Artistic Name]])</f>
        <v>Julius Von Bismarck​</v>
      </c>
    </row>
    <row r="666" spans="1:20" x14ac:dyDescent="0.35">
      <c r="A666">
        <v>665</v>
      </c>
      <c r="B666" t="s">
        <v>1238</v>
      </c>
      <c r="C666" t="s">
        <v>1239</v>
      </c>
      <c r="D666" t="s">
        <v>211</v>
      </c>
      <c r="E666" t="s">
        <v>1916</v>
      </c>
      <c r="F666" t="s">
        <v>25</v>
      </c>
      <c r="G666" t="s">
        <v>1916</v>
      </c>
      <c r="H666" t="s">
        <v>21</v>
      </c>
      <c r="J666">
        <v>1942</v>
      </c>
      <c r="K666">
        <f>2026-Table1[[#This Row],[Birthyear]]</f>
        <v>84</v>
      </c>
      <c r="L666" t="s">
        <v>1910</v>
      </c>
      <c r="M666" t="s">
        <v>1406</v>
      </c>
      <c r="N666" t="s">
        <v>1294</v>
      </c>
      <c r="T666" t="str">
        <f>CONCATENATE(Table1[[#This Row],[Name]]," ",Table1[[#This Row],[Surname/Studio Name/Artistic Name]])</f>
        <v>Ursula Von Rydingsvard</v>
      </c>
    </row>
    <row r="667" spans="1:20" x14ac:dyDescent="0.35">
      <c r="A667">
        <v>666</v>
      </c>
      <c r="B667" t="s">
        <v>1240</v>
      </c>
      <c r="C667" t="s">
        <v>634</v>
      </c>
      <c r="D667" t="s">
        <v>300</v>
      </c>
      <c r="E667" t="s">
        <v>1916</v>
      </c>
      <c r="F667" t="s">
        <v>20</v>
      </c>
      <c r="G667" t="s">
        <v>1916</v>
      </c>
      <c r="H667" t="s">
        <v>21</v>
      </c>
      <c r="I667" t="s">
        <v>22</v>
      </c>
      <c r="J667">
        <v>1975</v>
      </c>
      <c r="K667">
        <f>2026-Table1[[#This Row],[Birthyear]]</f>
        <v>51</v>
      </c>
      <c r="L667" t="s">
        <v>1315</v>
      </c>
      <c r="M667" t="s">
        <v>1315</v>
      </c>
      <c r="N667" t="s">
        <v>1291</v>
      </c>
      <c r="S667" t="s">
        <v>1470</v>
      </c>
      <c r="T667" t="str">
        <f>CONCATENATE(Table1[[#This Row],[Name]]," ",Table1[[#This Row],[Surname/Studio Name/Artistic Name]])</f>
        <v>Camille Walala</v>
      </c>
    </row>
    <row r="668" spans="1:20" x14ac:dyDescent="0.35">
      <c r="A668">
        <v>667</v>
      </c>
      <c r="B668" t="s">
        <v>1241</v>
      </c>
      <c r="C668" t="s">
        <v>1242</v>
      </c>
      <c r="D668" t="s">
        <v>1243</v>
      </c>
      <c r="E668" t="s">
        <v>1916</v>
      </c>
      <c r="F668" t="s">
        <v>20</v>
      </c>
      <c r="G668" t="s">
        <v>1916</v>
      </c>
      <c r="H668" t="s">
        <v>26</v>
      </c>
      <c r="J668">
        <v>1963</v>
      </c>
      <c r="K668">
        <f>2026-Table1[[#This Row],[Birthyear]]</f>
        <v>63</v>
      </c>
      <c r="L668" t="s">
        <v>1290</v>
      </c>
      <c r="M668" t="s">
        <v>1290</v>
      </c>
      <c r="N668" t="s">
        <v>1291</v>
      </c>
      <c r="S668" t="s">
        <v>1855</v>
      </c>
      <c r="T668" t="str">
        <f>CONCATENATE(Table1[[#This Row],[Name]]," ",Table1[[#This Row],[Surname/Studio Name/Artistic Name]])</f>
        <v>Nari Ward</v>
      </c>
    </row>
    <row r="669" spans="1:20" x14ac:dyDescent="0.35">
      <c r="A669">
        <v>668</v>
      </c>
      <c r="B669" t="s">
        <v>1244</v>
      </c>
      <c r="C669" t="s">
        <v>1245</v>
      </c>
      <c r="D669" t="s">
        <v>29</v>
      </c>
      <c r="E669" t="s">
        <v>1916</v>
      </c>
      <c r="F669" t="s">
        <v>25</v>
      </c>
      <c r="G669" t="s">
        <v>1916</v>
      </c>
      <c r="H669" t="s">
        <v>26</v>
      </c>
      <c r="J669">
        <v>1973</v>
      </c>
      <c r="K669">
        <f>2026-Table1[[#This Row],[Birthyear]]</f>
        <v>53</v>
      </c>
      <c r="L669" t="s">
        <v>1293</v>
      </c>
      <c r="M669" t="s">
        <v>1293</v>
      </c>
      <c r="N669" t="s">
        <v>1294</v>
      </c>
      <c r="T669" t="str">
        <f>CONCATENATE(Table1[[#This Row],[Name]]," ",Table1[[#This Row],[Surname/Studio Name/Artistic Name]])</f>
        <v>Saddek Wasil</v>
      </c>
    </row>
    <row r="670" spans="1:20" x14ac:dyDescent="0.35">
      <c r="A670">
        <v>669</v>
      </c>
      <c r="B670" t="s">
        <v>1246</v>
      </c>
      <c r="C670" t="s">
        <v>1247</v>
      </c>
      <c r="D670" t="s">
        <v>1901</v>
      </c>
      <c r="E670" t="s">
        <v>1916</v>
      </c>
      <c r="F670" t="s">
        <v>20</v>
      </c>
      <c r="G670" t="s">
        <v>1916</v>
      </c>
      <c r="H670" t="s">
        <v>21</v>
      </c>
      <c r="J670">
        <v>1985</v>
      </c>
      <c r="K670">
        <f>2026-Table1[[#This Row],[Birthyear]]</f>
        <v>41</v>
      </c>
      <c r="L670" t="s">
        <v>1290</v>
      </c>
      <c r="M670" t="s">
        <v>1290</v>
      </c>
      <c r="N670" t="s">
        <v>1291</v>
      </c>
      <c r="S670" t="s">
        <v>1374</v>
      </c>
      <c r="T670" t="str">
        <f>CONCATENATE(Table1[[#This Row],[Name]]," ",Table1[[#This Row],[Surname/Studio Name/Artistic Name]])</f>
        <v>Liz West</v>
      </c>
    </row>
    <row r="671" spans="1:20" x14ac:dyDescent="0.35">
      <c r="A671">
        <v>670</v>
      </c>
      <c r="B671" t="s">
        <v>1248</v>
      </c>
      <c r="C671" t="s">
        <v>278</v>
      </c>
      <c r="D671" t="s">
        <v>1891</v>
      </c>
      <c r="E671" t="s">
        <v>1916</v>
      </c>
      <c r="F671" t="s">
        <v>25</v>
      </c>
      <c r="G671" t="s">
        <v>1916</v>
      </c>
      <c r="H671" t="s">
        <v>26</v>
      </c>
      <c r="J671">
        <v>1933</v>
      </c>
      <c r="K671">
        <f>2026-Table1[[#This Row],[Birthyear]]</f>
        <v>93</v>
      </c>
      <c r="L671" t="s">
        <v>1293</v>
      </c>
      <c r="M671" t="s">
        <v>1293</v>
      </c>
      <c r="N671" t="s">
        <v>1294</v>
      </c>
      <c r="T671" t="str">
        <f>CONCATENATE(Table1[[#This Row],[Name]]," ",Table1[[#This Row],[Surname/Studio Name/Artistic Name]])</f>
        <v>Bruce White</v>
      </c>
    </row>
    <row r="672" spans="1:20" x14ac:dyDescent="0.35">
      <c r="A672">
        <v>671</v>
      </c>
      <c r="B672" t="s">
        <v>1249</v>
      </c>
      <c r="C672" t="s">
        <v>1250</v>
      </c>
      <c r="D672" t="s">
        <v>1138</v>
      </c>
      <c r="E672" t="s">
        <v>1916</v>
      </c>
      <c r="F672" t="s">
        <v>20</v>
      </c>
      <c r="G672" t="s">
        <v>1916</v>
      </c>
      <c r="H672" t="s">
        <v>26</v>
      </c>
      <c r="J672">
        <v>1967</v>
      </c>
      <c r="K672">
        <f>2026-Table1[[#This Row],[Birthyear]]</f>
        <v>59</v>
      </c>
      <c r="L672" t="s">
        <v>1315</v>
      </c>
      <c r="M672" t="s">
        <v>1315</v>
      </c>
      <c r="N672" t="s">
        <v>1327</v>
      </c>
      <c r="S672" t="s">
        <v>1336</v>
      </c>
      <c r="T672" t="str">
        <f>CONCATENATE(Table1[[#This Row],[Name]]," ",Table1[[#This Row],[Surname/Studio Name/Artistic Name]])</f>
        <v>Entang Wiharso</v>
      </c>
    </row>
    <row r="673" spans="1:20" x14ac:dyDescent="0.35">
      <c r="A673">
        <v>672</v>
      </c>
      <c r="B673" t="s">
        <v>1251</v>
      </c>
      <c r="C673" t="s">
        <v>545</v>
      </c>
      <c r="D673" t="s">
        <v>1901</v>
      </c>
      <c r="E673" t="s">
        <v>1916</v>
      </c>
      <c r="F673" t="s">
        <v>25</v>
      </c>
      <c r="G673" t="s">
        <v>1916</v>
      </c>
      <c r="H673" t="s">
        <v>26</v>
      </c>
      <c r="J673">
        <v>1953</v>
      </c>
      <c r="K673">
        <f>2026-Table1[[#This Row],[Birthyear]]</f>
        <v>73</v>
      </c>
      <c r="L673" t="s">
        <v>1293</v>
      </c>
      <c r="M673" t="s">
        <v>1293</v>
      </c>
      <c r="N673" t="s">
        <v>1309</v>
      </c>
      <c r="T673" t="str">
        <f>CONCATENATE(Table1[[#This Row],[Name]]," ",Table1[[#This Row],[Surname/Studio Name/Artistic Name]])</f>
        <v>Richard Wilson</v>
      </c>
    </row>
    <row r="674" spans="1:20" x14ac:dyDescent="0.35">
      <c r="A674">
        <v>673</v>
      </c>
      <c r="B674" t="s">
        <v>1252</v>
      </c>
      <c r="C674" t="s">
        <v>1253</v>
      </c>
      <c r="D674" t="s">
        <v>1891</v>
      </c>
      <c r="E674" t="s">
        <v>1916</v>
      </c>
      <c r="F674" t="s">
        <v>20</v>
      </c>
      <c r="G674" t="s">
        <v>1916</v>
      </c>
      <c r="H674" t="s">
        <v>26</v>
      </c>
      <c r="J674">
        <v>1977</v>
      </c>
      <c r="K674">
        <f>2026-Table1[[#This Row],[Birthyear]]</f>
        <v>49</v>
      </c>
      <c r="L674" t="s">
        <v>1290</v>
      </c>
      <c r="M674" t="s">
        <v>1290</v>
      </c>
      <c r="N674" t="s">
        <v>1291</v>
      </c>
      <c r="S674" t="s">
        <v>1321</v>
      </c>
      <c r="T674" t="str">
        <f>CONCATENATE(Table1[[#This Row],[Name]]," ",Table1[[#This Row],[Surname/Studio Name/Artistic Name]])</f>
        <v>Jonas Wood</v>
      </c>
    </row>
    <row r="675" spans="1:20" x14ac:dyDescent="0.35">
      <c r="A675">
        <v>674</v>
      </c>
      <c r="B675" t="s">
        <v>1254</v>
      </c>
      <c r="C675" t="s">
        <v>1255</v>
      </c>
      <c r="D675" t="s">
        <v>1901</v>
      </c>
      <c r="E675" t="s">
        <v>1916</v>
      </c>
      <c r="F675" t="s">
        <v>20</v>
      </c>
      <c r="G675" t="s">
        <v>1916</v>
      </c>
      <c r="H675" t="s">
        <v>21</v>
      </c>
      <c r="I675" t="s">
        <v>22</v>
      </c>
      <c r="J675">
        <v>1972</v>
      </c>
      <c r="K675">
        <f>2026-Table1[[#This Row],[Birthyear]]</f>
        <v>54</v>
      </c>
      <c r="L675" t="s">
        <v>1290</v>
      </c>
      <c r="M675" t="s">
        <v>1290</v>
      </c>
      <c r="N675" t="s">
        <v>1291</v>
      </c>
      <c r="S675" t="s">
        <v>1422</v>
      </c>
      <c r="T675" t="str">
        <f>CONCATENATE(Table1[[#This Row],[Name]]," ",Table1[[#This Row],[Surname/Studio Name/Artistic Name]])</f>
        <v>Claire Woods</v>
      </c>
    </row>
    <row r="676" spans="1:20" x14ac:dyDescent="0.35">
      <c r="A676">
        <v>675</v>
      </c>
      <c r="B676" t="s">
        <v>1256</v>
      </c>
      <c r="C676" t="s">
        <v>1257</v>
      </c>
      <c r="D676" t="s">
        <v>515</v>
      </c>
      <c r="E676" t="s">
        <v>1916</v>
      </c>
      <c r="F676" t="s">
        <v>25</v>
      </c>
      <c r="G676" t="s">
        <v>1916</v>
      </c>
      <c r="H676" t="s">
        <v>26</v>
      </c>
      <c r="J676">
        <v>1954</v>
      </c>
      <c r="K676">
        <f>2026-Table1[[#This Row],[Birthyear]]</f>
        <v>72</v>
      </c>
      <c r="L676" t="s">
        <v>1900</v>
      </c>
      <c r="M676" t="s">
        <v>1317</v>
      </c>
      <c r="N676" t="s">
        <v>1296</v>
      </c>
      <c r="O676" t="s">
        <v>1856</v>
      </c>
      <c r="P676">
        <v>2023</v>
      </c>
      <c r="Q676" t="s">
        <v>1302</v>
      </c>
      <c r="R676" t="s">
        <v>1355</v>
      </c>
      <c r="S676" t="s">
        <v>1341</v>
      </c>
      <c r="T676" t="str">
        <f>CONCATENATE(Table1[[#This Row],[Name]]," ",Table1[[#This Row],[Surname/Studio Name/Artistic Name]])</f>
        <v>Erwin Wurm​</v>
      </c>
    </row>
    <row r="677" spans="1:20" x14ac:dyDescent="0.35">
      <c r="A677">
        <v>676</v>
      </c>
      <c r="B677" t="s">
        <v>1258</v>
      </c>
      <c r="C677" t="s">
        <v>1259</v>
      </c>
      <c r="D677" t="s">
        <v>383</v>
      </c>
      <c r="E677" t="s">
        <v>1916</v>
      </c>
      <c r="F677" t="s">
        <v>20</v>
      </c>
      <c r="G677" t="s">
        <v>1916</v>
      </c>
      <c r="H677" t="s">
        <v>21</v>
      </c>
      <c r="J677">
        <v>1972</v>
      </c>
      <c r="K677">
        <f>2026-Table1[[#This Row],[Birthyear]]</f>
        <v>54</v>
      </c>
      <c r="L677" t="s">
        <v>1315</v>
      </c>
      <c r="M677" t="s">
        <v>1315</v>
      </c>
      <c r="N677" t="s">
        <v>1327</v>
      </c>
      <c r="S677" t="s">
        <v>1567</v>
      </c>
      <c r="T677" t="str">
        <f>CONCATENATE(Table1[[#This Row],[Name]]," ",Table1[[#This Row],[Surname/Studio Name/Artistic Name]])</f>
        <v>Ye Hong Xing</v>
      </c>
    </row>
    <row r="678" spans="1:20" x14ac:dyDescent="0.35">
      <c r="A678">
        <v>677</v>
      </c>
      <c r="B678" t="s">
        <v>793</v>
      </c>
      <c r="C678" t="s">
        <v>1260</v>
      </c>
      <c r="D678" t="s">
        <v>1894</v>
      </c>
      <c r="E678" t="s">
        <v>1916</v>
      </c>
      <c r="F678" t="s">
        <v>20</v>
      </c>
      <c r="G678" t="s">
        <v>1916</v>
      </c>
      <c r="H678" t="s">
        <v>21</v>
      </c>
      <c r="J678">
        <v>1971</v>
      </c>
      <c r="K678">
        <f>2026-Table1[[#This Row],[Birthyear]]</f>
        <v>55</v>
      </c>
      <c r="L678" t="s">
        <v>1357</v>
      </c>
      <c r="M678" t="s">
        <v>1357</v>
      </c>
      <c r="N678" t="s">
        <v>1327</v>
      </c>
      <c r="S678" t="s">
        <v>1726</v>
      </c>
      <c r="T678" t="str">
        <f>CONCATENATE(Table1[[#This Row],[Name]]," ",Table1[[#This Row],[Surname/Studio Name/Artistic Name]])</f>
        <v>Haegue Yang</v>
      </c>
    </row>
    <row r="679" spans="1:20" x14ac:dyDescent="0.35">
      <c r="A679">
        <v>678</v>
      </c>
      <c r="B679" t="s">
        <v>1261</v>
      </c>
      <c r="C679" t="s">
        <v>874</v>
      </c>
      <c r="D679" t="s">
        <v>300</v>
      </c>
      <c r="E679" t="s">
        <v>1916</v>
      </c>
      <c r="F679" t="s">
        <v>20</v>
      </c>
      <c r="G679" t="s">
        <v>1916</v>
      </c>
      <c r="H679" t="s">
        <v>26</v>
      </c>
      <c r="J679">
        <v>1966</v>
      </c>
      <c r="K679">
        <f>2026-Table1[[#This Row],[Birthyear]]</f>
        <v>60</v>
      </c>
      <c r="L679" t="s">
        <v>1914</v>
      </c>
      <c r="M679" t="s">
        <v>1326</v>
      </c>
      <c r="N679" t="s">
        <v>1296</v>
      </c>
      <c r="O679" t="s">
        <v>1857</v>
      </c>
      <c r="P679">
        <v>2023</v>
      </c>
      <c r="Q679" t="s">
        <v>1344</v>
      </c>
      <c r="R679" t="s">
        <v>1299</v>
      </c>
      <c r="T679" t="str">
        <f>CONCATENATE(Table1[[#This Row],[Name]]," ",Table1[[#This Row],[Surname/Studio Name/Artistic Name]])</f>
        <v>Robert Yannick</v>
      </c>
    </row>
    <row r="680" spans="1:20" x14ac:dyDescent="0.35">
      <c r="A680">
        <v>679</v>
      </c>
      <c r="B680" t="s">
        <v>1262</v>
      </c>
      <c r="C680" t="s">
        <v>1263</v>
      </c>
      <c r="D680" t="s">
        <v>216</v>
      </c>
      <c r="E680" t="s">
        <v>1916</v>
      </c>
      <c r="F680" t="s">
        <v>20</v>
      </c>
      <c r="G680" t="s">
        <v>1916</v>
      </c>
      <c r="H680" t="s">
        <v>26</v>
      </c>
      <c r="J680">
        <v>1984</v>
      </c>
      <c r="K680">
        <f>2026-Table1[[#This Row],[Birthyear]]</f>
        <v>42</v>
      </c>
      <c r="L680" t="s">
        <v>1900</v>
      </c>
      <c r="M680" t="s">
        <v>1322</v>
      </c>
      <c r="N680" t="s">
        <v>1296</v>
      </c>
      <c r="O680" t="s">
        <v>1858</v>
      </c>
      <c r="P680">
        <v>2024</v>
      </c>
      <c r="Q680" t="s">
        <v>1319</v>
      </c>
      <c r="R680" t="s">
        <v>1312</v>
      </c>
      <c r="S680" t="s">
        <v>1859</v>
      </c>
      <c r="T680" t="str">
        <f>CONCATENATE(Table1[[#This Row],[Name]]," ",Table1[[#This Row],[Surname/Studio Name/Artistic Name]])</f>
        <v>Takeshi Yasura</v>
      </c>
    </row>
    <row r="681" spans="1:20" x14ac:dyDescent="0.35">
      <c r="A681">
        <v>680</v>
      </c>
      <c r="B681" t="s">
        <v>1264</v>
      </c>
      <c r="C681" t="s">
        <v>1265</v>
      </c>
      <c r="D681" t="s">
        <v>1903</v>
      </c>
      <c r="E681" t="s">
        <v>1916</v>
      </c>
      <c r="F681" t="s">
        <v>20</v>
      </c>
      <c r="G681" t="s">
        <v>1916</v>
      </c>
      <c r="H681" t="s">
        <v>26</v>
      </c>
      <c r="J681">
        <v>1981</v>
      </c>
      <c r="K681">
        <f>2026-Table1[[#This Row],[Birthyear]]</f>
        <v>45</v>
      </c>
      <c r="L681" t="s">
        <v>1914</v>
      </c>
      <c r="M681" t="s">
        <v>1326</v>
      </c>
      <c r="N681" t="s">
        <v>1327</v>
      </c>
      <c r="T681" t="str">
        <f>CONCATENATE(Table1[[#This Row],[Name]]," ",Table1[[#This Row],[Surname/Studio Name/Artistic Name]])</f>
        <v>Chuan-Hsien Yeh</v>
      </c>
    </row>
    <row r="682" spans="1:20" x14ac:dyDescent="0.35">
      <c r="A682">
        <v>681</v>
      </c>
      <c r="B682" t="s">
        <v>1266</v>
      </c>
      <c r="C682" t="s">
        <v>1267</v>
      </c>
      <c r="D682" t="s">
        <v>29</v>
      </c>
      <c r="E682" t="s">
        <v>1916</v>
      </c>
      <c r="F682" t="s">
        <v>25</v>
      </c>
      <c r="G682" t="s">
        <v>1916</v>
      </c>
      <c r="H682" t="s">
        <v>26</v>
      </c>
      <c r="I682" t="s">
        <v>22</v>
      </c>
      <c r="J682">
        <v>1954</v>
      </c>
      <c r="K682">
        <f>2026-Table1[[#This Row],[Birthyear]]</f>
        <v>72</v>
      </c>
      <c r="L682" t="s">
        <v>1290</v>
      </c>
      <c r="M682" t="s">
        <v>1290</v>
      </c>
      <c r="N682" t="s">
        <v>1291</v>
      </c>
      <c r="S682" t="s">
        <v>1359</v>
      </c>
      <c r="T682" t="str">
        <f>CONCATENATE(Table1[[#This Row],[Name]]," ",Table1[[#This Row],[Surname/Studio Name/Artistic Name]])</f>
        <v>Jaha Yousaf</v>
      </c>
    </row>
    <row r="683" spans="1:20" x14ac:dyDescent="0.35">
      <c r="A683">
        <v>682</v>
      </c>
      <c r="B683" t="s">
        <v>1268</v>
      </c>
      <c r="C683" t="s">
        <v>1269</v>
      </c>
      <c r="D683" t="s">
        <v>383</v>
      </c>
      <c r="E683" t="s">
        <v>1916</v>
      </c>
      <c r="F683" t="s">
        <v>20</v>
      </c>
      <c r="G683" t="s">
        <v>1916</v>
      </c>
      <c r="H683" t="s">
        <v>26</v>
      </c>
      <c r="I683" t="s">
        <v>22</v>
      </c>
      <c r="J683">
        <v>1983</v>
      </c>
      <c r="K683">
        <f>2026-Table1[[#This Row],[Birthyear]]</f>
        <v>43</v>
      </c>
      <c r="L683" t="s">
        <v>1315</v>
      </c>
      <c r="M683" t="s">
        <v>1315</v>
      </c>
      <c r="N683" t="s">
        <v>1291</v>
      </c>
      <c r="S683" t="s">
        <v>1567</v>
      </c>
      <c r="T683" t="str">
        <f>CONCATENATE(Table1[[#This Row],[Name]]," ",Table1[[#This Row],[Surname/Studio Name/Artistic Name]])</f>
        <v>Huang Yulong</v>
      </c>
    </row>
    <row r="684" spans="1:20" x14ac:dyDescent="0.35">
      <c r="A684">
        <v>683</v>
      </c>
      <c r="B684" t="s">
        <v>1270</v>
      </c>
      <c r="C684" t="s">
        <v>304</v>
      </c>
      <c r="D684" t="s">
        <v>383</v>
      </c>
      <c r="E684" t="s">
        <v>1916</v>
      </c>
      <c r="F684" t="s">
        <v>20</v>
      </c>
      <c r="G684" t="s">
        <v>1916</v>
      </c>
      <c r="H684" t="s">
        <v>26</v>
      </c>
      <c r="J684">
        <v>1979</v>
      </c>
      <c r="K684">
        <f>2026-Table1[[#This Row],[Birthyear]]</f>
        <v>47</v>
      </c>
      <c r="L684" t="s">
        <v>1900</v>
      </c>
      <c r="M684" t="s">
        <v>1310</v>
      </c>
      <c r="N684" t="s">
        <v>1296</v>
      </c>
      <c r="O684" t="s">
        <v>1860</v>
      </c>
      <c r="P684">
        <v>2007</v>
      </c>
      <c r="Q684" t="s">
        <v>1302</v>
      </c>
      <c r="R684" t="s">
        <v>1861</v>
      </c>
      <c r="S684" t="s">
        <v>1373</v>
      </c>
      <c r="T684" t="str">
        <f>CONCATENATE(Table1[[#This Row],[Name]]," ",Table1[[#This Row],[Surname/Studio Name/Artistic Name]])</f>
        <v>Wang Yuyang</v>
      </c>
    </row>
    <row r="685" spans="1:20" x14ac:dyDescent="0.35">
      <c r="A685">
        <v>684</v>
      </c>
      <c r="B685" t="s">
        <v>1271</v>
      </c>
      <c r="C685" t="s">
        <v>106</v>
      </c>
      <c r="D685" t="s">
        <v>29</v>
      </c>
      <c r="E685" t="s">
        <v>1916</v>
      </c>
      <c r="F685" t="s">
        <v>20</v>
      </c>
      <c r="G685" t="s">
        <v>1916</v>
      </c>
      <c r="H685" t="s">
        <v>26</v>
      </c>
      <c r="J685">
        <v>1979</v>
      </c>
      <c r="K685">
        <f>2026-Table1[[#This Row],[Birthyear]]</f>
        <v>47</v>
      </c>
      <c r="L685" t="s">
        <v>1900</v>
      </c>
      <c r="M685" t="s">
        <v>1295</v>
      </c>
      <c r="N685" t="s">
        <v>1296</v>
      </c>
      <c r="O685" t="s">
        <v>1862</v>
      </c>
      <c r="P685">
        <v>2025</v>
      </c>
      <c r="Q685" t="s">
        <v>1298</v>
      </c>
      <c r="R685" t="s">
        <v>1299</v>
      </c>
      <c r="T685" t="str">
        <f>CONCATENATE(Table1[[#This Row],[Name]]," ",Table1[[#This Row],[Surname/Studio Name/Artistic Name]])</f>
        <v>Khalid Zahid</v>
      </c>
    </row>
    <row r="686" spans="1:20" x14ac:dyDescent="0.35">
      <c r="A686">
        <v>685</v>
      </c>
      <c r="B686" t="s">
        <v>1272</v>
      </c>
      <c r="C686" t="s">
        <v>718</v>
      </c>
      <c r="D686" t="s">
        <v>219</v>
      </c>
      <c r="E686" t="s">
        <v>1916</v>
      </c>
      <c r="F686" t="s">
        <v>20</v>
      </c>
      <c r="G686" t="s">
        <v>1916</v>
      </c>
      <c r="H686" t="s">
        <v>26</v>
      </c>
      <c r="J686">
        <v>1964</v>
      </c>
      <c r="K686">
        <f>2026-Table1[[#This Row],[Birthyear]]</f>
        <v>62</v>
      </c>
      <c r="L686" t="s">
        <v>1914</v>
      </c>
      <c r="M686" t="s">
        <v>1342</v>
      </c>
      <c r="N686" t="s">
        <v>1296</v>
      </c>
      <c r="O686" t="s">
        <v>1863</v>
      </c>
      <c r="P686">
        <v>2025</v>
      </c>
      <c r="Q686" t="s">
        <v>1344</v>
      </c>
      <c r="T686" t="str">
        <f>CONCATENATE(Table1[[#This Row],[Name]]," ",Table1[[#This Row],[Surname/Studio Name/Artistic Name]])</f>
        <v>Khaled Zaki</v>
      </c>
    </row>
    <row r="687" spans="1:20" x14ac:dyDescent="0.35">
      <c r="A687">
        <v>686</v>
      </c>
      <c r="B687" t="s">
        <v>1273</v>
      </c>
      <c r="C687" t="s">
        <v>1274</v>
      </c>
      <c r="D687" t="s">
        <v>245</v>
      </c>
      <c r="E687" t="s">
        <v>1916</v>
      </c>
      <c r="F687" t="s">
        <v>20</v>
      </c>
      <c r="G687" t="s">
        <v>1916</v>
      </c>
      <c r="H687" t="s">
        <v>26</v>
      </c>
      <c r="I687" t="s">
        <v>22</v>
      </c>
      <c r="J687">
        <v>1974</v>
      </c>
      <c r="K687">
        <f>2026-Table1[[#This Row],[Birthyear]]</f>
        <v>52</v>
      </c>
      <c r="L687" t="s">
        <v>1290</v>
      </c>
      <c r="M687" t="s">
        <v>1290</v>
      </c>
      <c r="N687" t="s">
        <v>1291</v>
      </c>
      <c r="S687" t="s">
        <v>1864</v>
      </c>
      <c r="T687" t="str">
        <f>CONCATENATE(Table1[[#This Row],[Name]]," ",Table1[[#This Row],[Surname/Studio Name/Artistic Name]])</f>
        <v>Héctor Zamora</v>
      </c>
    </row>
    <row r="688" spans="1:20" x14ac:dyDescent="0.35">
      <c r="A688">
        <v>687</v>
      </c>
      <c r="B688" t="s">
        <v>1275</v>
      </c>
      <c r="C688" t="s">
        <v>1276</v>
      </c>
      <c r="D688" t="s">
        <v>1277</v>
      </c>
      <c r="E688" t="s">
        <v>1916</v>
      </c>
      <c r="F688" t="s">
        <v>20</v>
      </c>
      <c r="G688" t="s">
        <v>1916</v>
      </c>
      <c r="H688" t="s">
        <v>26</v>
      </c>
      <c r="I688" t="s">
        <v>22</v>
      </c>
      <c r="J688">
        <v>1989</v>
      </c>
      <c r="K688">
        <f>2026-Table1[[#This Row],[Birthyear]]</f>
        <v>37</v>
      </c>
      <c r="L688" t="s">
        <v>1315</v>
      </c>
      <c r="M688" t="s">
        <v>1315</v>
      </c>
      <c r="N688" t="s">
        <v>1296</v>
      </c>
      <c r="O688" t="s">
        <v>50</v>
      </c>
      <c r="Q688" t="s">
        <v>1376</v>
      </c>
      <c r="S688" t="s">
        <v>1865</v>
      </c>
      <c r="T688" t="str">
        <f>CONCATENATE(Table1[[#This Row],[Name]]," ",Table1[[#This Row],[Surname/Studio Name/Artistic Name]])</f>
        <v>Tim Zdey</v>
      </c>
    </row>
    <row r="689" spans="1:20" x14ac:dyDescent="0.35">
      <c r="A689">
        <v>688</v>
      </c>
      <c r="B689" t="s">
        <v>1278</v>
      </c>
      <c r="C689" t="s">
        <v>1279</v>
      </c>
      <c r="D689" t="s">
        <v>572</v>
      </c>
      <c r="E689" t="s">
        <v>1916</v>
      </c>
      <c r="F689" t="s">
        <v>20</v>
      </c>
      <c r="G689" t="s">
        <v>1916</v>
      </c>
      <c r="H689" t="s">
        <v>26</v>
      </c>
      <c r="J689">
        <v>1977</v>
      </c>
      <c r="K689">
        <f>2026-Table1[[#This Row],[Birthyear]]</f>
        <v>49</v>
      </c>
      <c r="L689" t="s">
        <v>1914</v>
      </c>
      <c r="M689" t="s">
        <v>1425</v>
      </c>
      <c r="N689" t="s">
        <v>1296</v>
      </c>
      <c r="P689">
        <v>2019</v>
      </c>
      <c r="Q689" t="s">
        <v>1344</v>
      </c>
      <c r="T689" t="str">
        <f>CONCATENATE(Table1[[#This Row],[Name]]," ",Table1[[#This Row],[Surname/Studio Name/Artistic Name]])</f>
        <v>Zdravko Zdravkov</v>
      </c>
    </row>
    <row r="690" spans="1:20" x14ac:dyDescent="0.35">
      <c r="A690">
        <v>689</v>
      </c>
      <c r="B690" t="s">
        <v>1280</v>
      </c>
      <c r="C690" t="s">
        <v>1281</v>
      </c>
      <c r="D690" t="s">
        <v>290</v>
      </c>
      <c r="E690" t="s">
        <v>1916</v>
      </c>
      <c r="F690" t="s">
        <v>20</v>
      </c>
      <c r="G690" t="s">
        <v>1916</v>
      </c>
      <c r="H690" t="s">
        <v>21</v>
      </c>
      <c r="I690" t="s">
        <v>22</v>
      </c>
      <c r="J690">
        <v>1962</v>
      </c>
      <c r="K690">
        <f>2026-Table1[[#This Row],[Birthyear]]</f>
        <v>64</v>
      </c>
      <c r="L690" t="s">
        <v>1290</v>
      </c>
      <c r="M690" t="s">
        <v>1290</v>
      </c>
      <c r="N690" t="s">
        <v>1296</v>
      </c>
      <c r="O690" t="s">
        <v>1866</v>
      </c>
      <c r="Q690" t="s">
        <v>1306</v>
      </c>
      <c r="R690" t="s">
        <v>1867</v>
      </c>
      <c r="S690" t="s">
        <v>1527</v>
      </c>
      <c r="T690" t="str">
        <f>CONCATENATE(Table1[[#This Row],[Name]]," ",Table1[[#This Row],[Surname/Studio Name/Artistic Name]])</f>
        <v>Carola Zech</v>
      </c>
    </row>
    <row r="691" spans="1:20" x14ac:dyDescent="0.35">
      <c r="A691">
        <v>690</v>
      </c>
      <c r="B691" t="s">
        <v>1282</v>
      </c>
      <c r="C691" t="s">
        <v>1283</v>
      </c>
      <c r="D691" t="s">
        <v>29</v>
      </c>
      <c r="E691" t="s">
        <v>1916</v>
      </c>
      <c r="F691" t="s">
        <v>25</v>
      </c>
      <c r="G691" t="s">
        <v>1916</v>
      </c>
      <c r="H691" t="s">
        <v>26</v>
      </c>
      <c r="J691">
        <v>1984</v>
      </c>
      <c r="K691">
        <f>2026-Table1[[#This Row],[Birthyear]]</f>
        <v>42</v>
      </c>
      <c r="L691" t="s">
        <v>1293</v>
      </c>
      <c r="M691" t="s">
        <v>1293</v>
      </c>
      <c r="N691" t="s">
        <v>1294</v>
      </c>
      <c r="T691" t="str">
        <f>CONCATENATE(Table1[[#This Row],[Name]]," ",Table1[[#This Row],[Surname/Studio Name/Artistic Name]])</f>
        <v>Ayman Zedani</v>
      </c>
    </row>
    <row r="692" spans="1:20" x14ac:dyDescent="0.35">
      <c r="A692">
        <v>691</v>
      </c>
      <c r="B692" t="s">
        <v>1284</v>
      </c>
      <c r="C692" t="s">
        <v>1285</v>
      </c>
      <c r="D692" t="s">
        <v>383</v>
      </c>
      <c r="E692" t="s">
        <v>1916</v>
      </c>
      <c r="F692" t="s">
        <v>20</v>
      </c>
      <c r="G692" t="s">
        <v>1916</v>
      </c>
      <c r="H692" t="s">
        <v>26</v>
      </c>
      <c r="J692">
        <v>1987</v>
      </c>
      <c r="K692">
        <f>2026-Table1[[#This Row],[Birthyear]]</f>
        <v>39</v>
      </c>
      <c r="L692" t="s">
        <v>1900</v>
      </c>
      <c r="M692" t="s">
        <v>1295</v>
      </c>
      <c r="N692" t="s">
        <v>1296</v>
      </c>
      <c r="O692" t="s">
        <v>1868</v>
      </c>
      <c r="P692">
        <v>2025</v>
      </c>
      <c r="Q692" t="s">
        <v>1298</v>
      </c>
      <c r="R692" t="s">
        <v>1299</v>
      </c>
      <c r="T692" t="str">
        <f>CONCATENATE(Table1[[#This Row],[Name]]," ",Table1[[#This Row],[Surname/Studio Name/Artistic Name]])</f>
        <v>Zhang  Zengzeng</v>
      </c>
    </row>
    <row r="693" spans="1:20" x14ac:dyDescent="0.35">
      <c r="A693">
        <v>692</v>
      </c>
      <c r="B693" t="s">
        <v>1286</v>
      </c>
      <c r="C693" t="s">
        <v>1287</v>
      </c>
      <c r="D693" t="s">
        <v>290</v>
      </c>
      <c r="E693" t="s">
        <v>1916</v>
      </c>
      <c r="F693" t="s">
        <v>25</v>
      </c>
      <c r="G693" t="s">
        <v>1916</v>
      </c>
      <c r="H693" t="s">
        <v>21</v>
      </c>
      <c r="I693" t="s">
        <v>22</v>
      </c>
      <c r="J693">
        <v>1986</v>
      </c>
      <c r="K693">
        <f>2026-Table1[[#This Row],[Birthyear]]</f>
        <v>40</v>
      </c>
      <c r="L693" t="s">
        <v>1290</v>
      </c>
      <c r="M693" t="s">
        <v>1290</v>
      </c>
      <c r="N693" t="s">
        <v>1387</v>
      </c>
      <c r="O693" t="s">
        <v>1869</v>
      </c>
      <c r="Q693" t="s">
        <v>1371</v>
      </c>
      <c r="R693" t="s">
        <v>1870</v>
      </c>
      <c r="S693" t="s">
        <v>1871</v>
      </c>
      <c r="T693" t="str">
        <f>CONCATENATE(Table1[[#This Row],[Name]]," ",Table1[[#This Row],[Surname/Studio Name/Artistic Name]])</f>
        <v>Pilar Zeta</v>
      </c>
    </row>
    <row r="694" spans="1:20" x14ac:dyDescent="0.35">
      <c r="A694">
        <v>693</v>
      </c>
      <c r="B694" t="s">
        <v>1288</v>
      </c>
      <c r="C694" t="s">
        <v>1289</v>
      </c>
      <c r="D694" t="s">
        <v>383</v>
      </c>
      <c r="E694" t="s">
        <v>1916</v>
      </c>
      <c r="F694" t="s">
        <v>20</v>
      </c>
      <c r="G694" t="s">
        <v>1916</v>
      </c>
      <c r="H694" t="s">
        <v>26</v>
      </c>
      <c r="J694">
        <v>1984</v>
      </c>
      <c r="K694">
        <f>2026-Table1[[#This Row],[Birthyear]]</f>
        <v>42</v>
      </c>
      <c r="L694" t="s">
        <v>1315</v>
      </c>
      <c r="M694" t="s">
        <v>1315</v>
      </c>
      <c r="N694" t="s">
        <v>1327</v>
      </c>
      <c r="S694" t="s">
        <v>1470</v>
      </c>
      <c r="T694" t="str">
        <f>CONCATENATE(Table1[[#This Row],[Name]]," ",Table1[[#This Row],[Surname/Studio Name/Artistic Name]])</f>
        <v>Zhang Zhoujie</v>
      </c>
    </row>
  </sheetData>
  <conditionalFormatting sqref="T1:T1048576">
    <cfRule type="duplicateValues" dxfId="2" priority="1"/>
  </conditionalFormatting>
  <pageMargins left="0.7" right="0.7" top="0.75" bottom="0.75" header="0.3" footer="0.3"/>
  <headerFooter>
    <oddFooter>&amp;C_x000D_&amp;1#&amp;"Aptos"&amp;12&amp;K0000FF CLASSIFICATION: Internal (Confidential)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4219-39ED-410C-8F69-CB451E9C3B60}">
  <dimension ref="A1:D14"/>
  <sheetViews>
    <sheetView workbookViewId="0">
      <selection activeCell="N18" sqref="N18"/>
    </sheetView>
  </sheetViews>
  <sheetFormatPr defaultRowHeight="14.5" x14ac:dyDescent="0.35"/>
  <cols>
    <col min="1" max="1" width="39.7265625" bestFit="1" customWidth="1"/>
  </cols>
  <sheetData>
    <row r="1" spans="1:4" x14ac:dyDescent="0.35">
      <c r="A1" t="s">
        <v>1899</v>
      </c>
      <c r="B1" t="s">
        <v>1907</v>
      </c>
      <c r="C1" t="s">
        <v>1908</v>
      </c>
      <c r="D1" t="s">
        <v>1909</v>
      </c>
    </row>
    <row r="2" spans="1:4" x14ac:dyDescent="0.35">
      <c r="A2" t="s">
        <v>1410</v>
      </c>
      <c r="B2">
        <v>0</v>
      </c>
      <c r="D2">
        <f>Artwork_status[[#This Row],[Expected Artworks]]-Artwork_status[[#This Row],[Delivered Artworks]]</f>
        <v>0</v>
      </c>
    </row>
    <row r="3" spans="1:4" x14ac:dyDescent="0.35">
      <c r="A3" t="s">
        <v>1315</v>
      </c>
      <c r="B3">
        <v>34</v>
      </c>
      <c r="D3">
        <f>Artwork_status[[#This Row],[Expected Artworks]]-Artwork_status[[#This Row],[Delivered Artworks]]</f>
        <v>34</v>
      </c>
    </row>
    <row r="4" spans="1:4" x14ac:dyDescent="0.35">
      <c r="A4" t="s">
        <v>1588</v>
      </c>
      <c r="B4">
        <v>25</v>
      </c>
      <c r="C4">
        <v>11</v>
      </c>
      <c r="D4">
        <f>Artwork_status[[#This Row],[Expected Artworks]]-Artwork_status[[#This Row],[Delivered Artworks]]</f>
        <v>14</v>
      </c>
    </row>
    <row r="5" spans="1:4" x14ac:dyDescent="0.35">
      <c r="A5" t="s">
        <v>1910</v>
      </c>
      <c r="B5">
        <v>0</v>
      </c>
      <c r="D5">
        <f>Artwork_status[[#This Row],[Expected Artworks]]-Artwork_status[[#This Row],[Delivered Artworks]]</f>
        <v>0</v>
      </c>
    </row>
    <row r="6" spans="1:4" x14ac:dyDescent="0.35">
      <c r="A6" t="s">
        <v>1357</v>
      </c>
      <c r="B6">
        <v>1</v>
      </c>
      <c r="D6">
        <f>Artwork_status[[#This Row],[Expected Artworks]]-Artwork_status[[#This Row],[Delivered Artworks]]</f>
        <v>1</v>
      </c>
    </row>
    <row r="7" spans="1:4" x14ac:dyDescent="0.35">
      <c r="A7" t="s">
        <v>1293</v>
      </c>
      <c r="B7">
        <v>12</v>
      </c>
      <c r="C7">
        <v>3</v>
      </c>
      <c r="D7">
        <f>Artwork_status[[#This Row],[Expected Artworks]]-Artwork_status[[#This Row],[Delivered Artworks]]</f>
        <v>9</v>
      </c>
    </row>
    <row r="8" spans="1:4" x14ac:dyDescent="0.35">
      <c r="A8" t="s">
        <v>1290</v>
      </c>
      <c r="B8">
        <v>107</v>
      </c>
      <c r="D8">
        <f>Artwork_status[[#This Row],[Expected Artworks]]-Artwork_status[[#This Row],[Delivered Artworks]]</f>
        <v>107</v>
      </c>
    </row>
    <row r="9" spans="1:4" x14ac:dyDescent="0.35">
      <c r="A9" t="s">
        <v>1911</v>
      </c>
      <c r="B9">
        <v>0</v>
      </c>
      <c r="D9">
        <f>Artwork_status[[#This Row],[Expected Artworks]]-Artwork_status[[#This Row],[Delivered Artworks]]</f>
        <v>0</v>
      </c>
    </row>
    <row r="10" spans="1:4" x14ac:dyDescent="0.35">
      <c r="A10" t="s">
        <v>1912</v>
      </c>
      <c r="B10">
        <v>5</v>
      </c>
      <c r="D10">
        <f>Artwork_status[[#This Row],[Expected Artworks]]-Artwork_status[[#This Row],[Delivered Artworks]]</f>
        <v>5</v>
      </c>
    </row>
    <row r="11" spans="1:4" x14ac:dyDescent="0.35">
      <c r="A11" t="s">
        <v>1913</v>
      </c>
      <c r="B11">
        <v>155</v>
      </c>
      <c r="C11">
        <v>62</v>
      </c>
      <c r="D11">
        <f>Artwork_status[[#This Row],[Expected Artworks]]-Artwork_status[[#This Row],[Delivered Artworks]]</f>
        <v>93</v>
      </c>
    </row>
    <row r="12" spans="1:4" x14ac:dyDescent="0.35">
      <c r="A12" t="s">
        <v>1663</v>
      </c>
      <c r="B12">
        <v>0</v>
      </c>
      <c r="D12">
        <f>Artwork_status[[#This Row],[Expected Artworks]]-Artwork_status[[#This Row],[Delivered Artworks]]</f>
        <v>0</v>
      </c>
    </row>
    <row r="13" spans="1:4" x14ac:dyDescent="0.35">
      <c r="A13" t="s">
        <v>1900</v>
      </c>
      <c r="B13">
        <v>426</v>
      </c>
      <c r="C13">
        <v>426</v>
      </c>
      <c r="D13">
        <f>Artwork_status[[#This Row],[Expected Artworks]]-Artwork_status[[#This Row],[Delivered Artworks]]</f>
        <v>0</v>
      </c>
    </row>
    <row r="14" spans="1:4" x14ac:dyDescent="0.35">
      <c r="A14" t="s">
        <v>1914</v>
      </c>
      <c r="B14">
        <v>0</v>
      </c>
      <c r="D14">
        <f>Artwork_status[[#This Row],[Expected Artworks]]-Artwork_status[[#This Row],[Delivered Artworks]]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Artwork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Bhati</dc:creator>
  <cp:lastModifiedBy>Asif Bhati</cp:lastModifiedBy>
  <dcterms:created xsi:type="dcterms:W3CDTF">2026-04-27T11:49:46Z</dcterms:created>
  <dcterms:modified xsi:type="dcterms:W3CDTF">2026-05-08T20:19:07Z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7d731e-5454-4683-a520-0e421e5d70ef_Enabled">
    <vt:lpwstr>true</vt:lpwstr>
  </property>
  <property fmtid="{D5CDD505-2E9C-101B-9397-08002B2CF9AE}" pid="3" name="MSIP_Label_cf7d731e-5454-4683-a520-0e421e5d70ef_SetDate">
    <vt:lpwstr>2026-04-27T11:50:32Z</vt:lpwstr>
  </property>
  <property fmtid="{D5CDD505-2E9C-101B-9397-08002B2CF9AE}" pid="4" name="MSIP_Label_cf7d731e-5454-4683-a520-0e421e5d70ef_Method">
    <vt:lpwstr>Privileged</vt:lpwstr>
  </property>
  <property fmtid="{D5CDD505-2E9C-101B-9397-08002B2CF9AE}" pid="5" name="MSIP_Label_cf7d731e-5454-4683-a520-0e421e5d70ef_Name">
    <vt:lpwstr>Confidential</vt:lpwstr>
  </property>
  <property fmtid="{D5CDD505-2E9C-101B-9397-08002B2CF9AE}" pid="6" name="MSIP_Label_cf7d731e-5454-4683-a520-0e421e5d70ef_SiteId">
    <vt:lpwstr>947d9dbe-5f08-4416-96a9-8468f7f8299e</vt:lpwstr>
  </property>
  <property fmtid="{D5CDD505-2E9C-101B-9397-08002B2CF9AE}" pid="7" name="MSIP_Label_cf7d731e-5454-4683-a520-0e421e5d70ef_ActionId">
    <vt:lpwstr>61217b56-e6e4-471c-beea-e522488e0452</vt:lpwstr>
  </property>
  <property fmtid="{D5CDD505-2E9C-101B-9397-08002B2CF9AE}" pid="8" name="MSIP_Label_cf7d731e-5454-4683-a520-0e421e5d70ef_ContentBits">
    <vt:lpwstr>2</vt:lpwstr>
  </property>
  <property fmtid="{D5CDD505-2E9C-101B-9397-08002B2CF9AE}" pid="9" name="MSIP_Label_cf7d731e-5454-4683-a520-0e421e5d70ef_Tag">
    <vt:lpwstr>10, 0, 1, 1</vt:lpwstr>
  </property>
</Properties>
</file>